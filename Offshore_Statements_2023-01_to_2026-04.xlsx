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0f82dcf53f7c878/Desktop/Claude/Claude Cower/Monthly Offshore Statement Extraction/"/>
    </mc:Choice>
  </mc:AlternateContent>
  <xr:revisionPtr revIDLastSave="13" documentId="11_0A0D11066A2152F4A7B1E3DB7287F732BE7E32B5" xr6:coauthVersionLast="47" xr6:coauthVersionMax="47" xr10:uidLastSave="{732D7F6A-9EB3-4D4E-87E2-094B3FB22E9D}"/>
  <bookViews>
    <workbookView xWindow="25305" yWindow="120" windowWidth="26145" windowHeight="15255" tabRatio="500" activeTab="5" xr2:uid="{00000000-000D-0000-FFFF-FFFF00000000}"/>
  </bookViews>
  <sheets>
    <sheet name="Summary" sheetId="1" r:id="rId1"/>
    <sheet name="Holdings" sheetId="2" r:id="rId2"/>
    <sheet name="Transactions" sheetId="3" r:id="rId3"/>
    <sheet name="Income" sheetId="4" r:id="rId4"/>
    <sheet name="Fees" sheetId="5" r:id="rId5"/>
    <sheet name="Deposits &amp; Withdrawals" sheetId="6" r:id="rId6"/>
    <sheet name="Validation" sheetId="7" r:id="rId7"/>
  </sheets>
  <definedNames>
    <definedName name="_xlnm._FilterDatabase" localSheetId="5" hidden="1">'Deposits &amp; Withdrawals'!$A$1:$F$202</definedName>
    <definedName name="_xlnm._FilterDatabase" localSheetId="4" hidden="1">Fees!$A$1:$D$75</definedName>
    <definedName name="_xlnm._FilterDatabase" localSheetId="1" hidden="1">Holdings!$A$1:$I$951</definedName>
    <definedName name="_xlnm._FilterDatabase" localSheetId="3" hidden="1">Income!$A$1:$F$1732</definedName>
    <definedName name="_xlnm._FilterDatabase" localSheetId="0" hidden="1">Summary!$A$1:$O$41</definedName>
    <definedName name="_xlnm._FilterDatabase" localSheetId="2" hidden="1">Transactions!$A$1:$J$820</definedName>
    <definedName name="_xlnm._FilterDatabase" localSheetId="6" hidden="1">Validation!$A$1:$G$41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1" i="7" l="1"/>
  <c r="E41" i="7"/>
  <c r="D41" i="7"/>
  <c r="C41" i="7"/>
  <c r="B41" i="7"/>
  <c r="F40" i="7"/>
  <c r="E40" i="7"/>
  <c r="D40" i="7"/>
  <c r="C40" i="7"/>
  <c r="B40" i="7"/>
  <c r="F39" i="7"/>
  <c r="E39" i="7"/>
  <c r="D39" i="7"/>
  <c r="C39" i="7"/>
  <c r="B39" i="7"/>
  <c r="F38" i="7"/>
  <c r="E38" i="7"/>
  <c r="D38" i="7"/>
  <c r="C38" i="7"/>
  <c r="B38" i="7"/>
  <c r="F37" i="7"/>
  <c r="E37" i="7"/>
  <c r="D37" i="7"/>
  <c r="C37" i="7"/>
  <c r="B37" i="7"/>
  <c r="F36" i="7"/>
  <c r="E36" i="7"/>
  <c r="D36" i="7"/>
  <c r="C36" i="7"/>
  <c r="B36" i="7"/>
  <c r="F35" i="7"/>
  <c r="E35" i="7"/>
  <c r="D35" i="7"/>
  <c r="C35" i="7"/>
  <c r="B35" i="7"/>
  <c r="F34" i="7"/>
  <c r="E34" i="7"/>
  <c r="D34" i="7"/>
  <c r="C34" i="7"/>
  <c r="B34" i="7"/>
  <c r="F33" i="7"/>
  <c r="E33" i="7"/>
  <c r="D33" i="7"/>
  <c r="C33" i="7"/>
  <c r="B33" i="7"/>
  <c r="F32" i="7"/>
  <c r="E32" i="7"/>
  <c r="D32" i="7"/>
  <c r="C32" i="7"/>
  <c r="B32" i="7"/>
  <c r="F31" i="7"/>
  <c r="E31" i="7"/>
  <c r="D31" i="7"/>
  <c r="C31" i="7"/>
  <c r="B31" i="7"/>
  <c r="F30" i="7"/>
  <c r="E30" i="7"/>
  <c r="D30" i="7"/>
  <c r="C30" i="7"/>
  <c r="B30" i="7"/>
  <c r="F29" i="7"/>
  <c r="E29" i="7"/>
  <c r="D29" i="7"/>
  <c r="C29" i="7"/>
  <c r="B29" i="7"/>
  <c r="F28" i="7"/>
  <c r="E28" i="7"/>
  <c r="D28" i="7"/>
  <c r="C28" i="7"/>
  <c r="B28" i="7"/>
  <c r="F27" i="7"/>
  <c r="E27" i="7"/>
  <c r="D27" i="7"/>
  <c r="C27" i="7"/>
  <c r="B27" i="7"/>
  <c r="F26" i="7"/>
  <c r="E26" i="7"/>
  <c r="D26" i="7"/>
  <c r="C26" i="7"/>
  <c r="B26" i="7"/>
  <c r="F25" i="7"/>
  <c r="E25" i="7"/>
  <c r="D25" i="7"/>
  <c r="C25" i="7"/>
  <c r="B25" i="7"/>
  <c r="F24" i="7"/>
  <c r="E24" i="7"/>
  <c r="D24" i="7"/>
  <c r="C24" i="7"/>
  <c r="B24" i="7"/>
  <c r="F23" i="7"/>
  <c r="E23" i="7"/>
  <c r="D23" i="7"/>
  <c r="C23" i="7"/>
  <c r="B23" i="7"/>
  <c r="F22" i="7"/>
  <c r="E22" i="7"/>
  <c r="D22" i="7"/>
  <c r="C22" i="7"/>
  <c r="B22" i="7"/>
  <c r="F21" i="7"/>
  <c r="E21" i="7"/>
  <c r="D21" i="7"/>
  <c r="C21" i="7"/>
  <c r="B21" i="7"/>
  <c r="F20" i="7"/>
  <c r="E20" i="7"/>
  <c r="D20" i="7"/>
  <c r="C20" i="7"/>
  <c r="B20" i="7"/>
  <c r="F19" i="7"/>
  <c r="E19" i="7"/>
  <c r="D19" i="7"/>
  <c r="C19" i="7"/>
  <c r="B19" i="7"/>
  <c r="F18" i="7"/>
  <c r="E18" i="7"/>
  <c r="D18" i="7"/>
  <c r="C18" i="7"/>
  <c r="B18" i="7"/>
  <c r="F17" i="7"/>
  <c r="E17" i="7"/>
  <c r="D17" i="7"/>
  <c r="C17" i="7"/>
  <c r="B17" i="7"/>
  <c r="F16" i="7"/>
  <c r="E16" i="7"/>
  <c r="D16" i="7"/>
  <c r="C16" i="7"/>
  <c r="B16" i="7"/>
  <c r="F15" i="7"/>
  <c r="E15" i="7"/>
  <c r="D15" i="7"/>
  <c r="C15" i="7"/>
  <c r="B15" i="7"/>
  <c r="F14" i="7"/>
  <c r="E14" i="7"/>
  <c r="D14" i="7"/>
  <c r="C14" i="7"/>
  <c r="B14" i="7"/>
  <c r="F13" i="7"/>
  <c r="E13" i="7"/>
  <c r="D13" i="7"/>
  <c r="C13" i="7"/>
  <c r="B13" i="7"/>
  <c r="F12" i="7"/>
  <c r="E12" i="7"/>
  <c r="D12" i="7"/>
  <c r="C12" i="7"/>
  <c r="B12" i="7"/>
  <c r="F11" i="7"/>
  <c r="E11" i="7"/>
  <c r="D11" i="7"/>
  <c r="C11" i="7"/>
  <c r="B11" i="7"/>
  <c r="F10" i="7"/>
  <c r="E10" i="7"/>
  <c r="D10" i="7"/>
  <c r="C10" i="7"/>
  <c r="B10" i="7"/>
  <c r="F9" i="7"/>
  <c r="E9" i="7"/>
  <c r="D9" i="7"/>
  <c r="C9" i="7"/>
  <c r="B9" i="7"/>
  <c r="F8" i="7"/>
  <c r="E8" i="7"/>
  <c r="D8" i="7"/>
  <c r="C8" i="7"/>
  <c r="B8" i="7"/>
  <c r="F7" i="7"/>
  <c r="E7" i="7"/>
  <c r="D7" i="7"/>
  <c r="C7" i="7"/>
  <c r="B7" i="7"/>
  <c r="F6" i="7"/>
  <c r="E6" i="7"/>
  <c r="D6" i="7"/>
  <c r="C6" i="7"/>
  <c r="B6" i="7"/>
  <c r="F5" i="7"/>
  <c r="E5" i="7"/>
  <c r="D5" i="7"/>
  <c r="C5" i="7"/>
  <c r="B5" i="7"/>
  <c r="F4" i="7"/>
  <c r="E4" i="7"/>
  <c r="D4" i="7"/>
  <c r="C4" i="7"/>
  <c r="B4" i="7"/>
  <c r="F3" i="7"/>
  <c r="E3" i="7"/>
  <c r="D3" i="7"/>
  <c r="C3" i="7"/>
  <c r="B3" i="7"/>
  <c r="E2" i="7"/>
  <c r="D2" i="7"/>
  <c r="C2" i="7"/>
  <c r="B2" i="7"/>
</calcChain>
</file>

<file path=xl/sharedStrings.xml><?xml version="1.0" encoding="utf-8"?>
<sst xmlns="http://schemas.openxmlformats.org/spreadsheetml/2006/main" count="17084" uniqueCount="2379">
  <si>
    <t>Month</t>
  </si>
  <si>
    <t>Statement Period</t>
  </si>
  <si>
    <t>Account No</t>
  </si>
  <si>
    <t>Beginning Balance ($)</t>
  </si>
  <si>
    <t>Addition ($)</t>
  </si>
  <si>
    <t>Subtraction ($)</t>
  </si>
  <si>
    <t>Trade Transaction ($)</t>
  </si>
  <si>
    <t>Cost and Fees ($)</t>
  </si>
  <si>
    <t>Ending Cash ($)</t>
  </si>
  <si>
    <t>Long ($)</t>
  </si>
  <si>
    <t>Total Market Value ($)</t>
  </si>
  <si>
    <t>Dividend ($)</t>
  </si>
  <si>
    <t>Interest ($)</t>
  </si>
  <si>
    <t>Realized ST Net ($)</t>
  </si>
  <si>
    <t>Realized LT Net ($)</t>
  </si>
  <si>
    <t>2023-01</t>
  </si>
  <si>
    <t>January 2023</t>
  </si>
  <si>
    <t>947159514</t>
  </si>
  <si>
    <t>2023-02</t>
  </si>
  <si>
    <t>February 2023</t>
  </si>
  <si>
    <t>2023-03</t>
  </si>
  <si>
    <t>March 2023</t>
  </si>
  <si>
    <t>2023-04</t>
  </si>
  <si>
    <t>April 2023</t>
  </si>
  <si>
    <t>2023-05</t>
  </si>
  <si>
    <t>May 2023</t>
  </si>
  <si>
    <t>2023-06</t>
  </si>
  <si>
    <t>June 2023</t>
  </si>
  <si>
    <t>2023-07</t>
  </si>
  <si>
    <t>July 2023</t>
  </si>
  <si>
    <t>2023-08</t>
  </si>
  <si>
    <t>August 2023</t>
  </si>
  <si>
    <t>2023-09</t>
  </si>
  <si>
    <t>September 2023</t>
  </si>
  <si>
    <t>2023-10</t>
  </si>
  <si>
    <t>October 2023</t>
  </si>
  <si>
    <t>2023-11</t>
  </si>
  <si>
    <t>November 2023</t>
  </si>
  <si>
    <t>2023-12</t>
  </si>
  <si>
    <t>December 2023</t>
  </si>
  <si>
    <t>2024-01</t>
  </si>
  <si>
    <t>January 2024</t>
  </si>
  <si>
    <t>2024-02</t>
  </si>
  <si>
    <t>February 2024</t>
  </si>
  <si>
    <t>2024-03</t>
  </si>
  <si>
    <t>March 2024</t>
  </si>
  <si>
    <t>2024-04</t>
  </si>
  <si>
    <t>April 2024</t>
  </si>
  <si>
    <t>2024-05</t>
  </si>
  <si>
    <t>May 2024</t>
  </si>
  <si>
    <t>2024-06</t>
  </si>
  <si>
    <t>June 2024</t>
  </si>
  <si>
    <t>2024-07</t>
  </si>
  <si>
    <t>July 2024</t>
  </si>
  <si>
    <t>2024-08</t>
  </si>
  <si>
    <t>August 2024</t>
  </si>
  <si>
    <t>2024-09</t>
  </si>
  <si>
    <t>September 2024</t>
  </si>
  <si>
    <t>2024-10</t>
  </si>
  <si>
    <t>October 2024</t>
  </si>
  <si>
    <t>2024-11</t>
  </si>
  <si>
    <t>November 2024</t>
  </si>
  <si>
    <t>2024-12</t>
  </si>
  <si>
    <t>December 2024</t>
  </si>
  <si>
    <t>2025-01</t>
  </si>
  <si>
    <t>January 2025</t>
  </si>
  <si>
    <t>2025-02</t>
  </si>
  <si>
    <t>February 2025</t>
  </si>
  <si>
    <t>2025-03</t>
  </si>
  <si>
    <t>March 2025</t>
  </si>
  <si>
    <t>2025-04</t>
  </si>
  <si>
    <t>April 2025</t>
  </si>
  <si>
    <t>2025-05</t>
  </si>
  <si>
    <t>May 2025</t>
  </si>
  <si>
    <t>2025-06</t>
  </si>
  <si>
    <t>June 2025</t>
  </si>
  <si>
    <t>2025-07</t>
  </si>
  <si>
    <t>July 2025</t>
  </si>
  <si>
    <t>2025-08</t>
  </si>
  <si>
    <t>August 2025</t>
  </si>
  <si>
    <t>2025-09</t>
  </si>
  <si>
    <t>September 2025</t>
  </si>
  <si>
    <t>2025-10</t>
  </si>
  <si>
    <t>October 2025</t>
  </si>
  <si>
    <t>2025-11</t>
  </si>
  <si>
    <t>November 2025</t>
  </si>
  <si>
    <t>2025-12</t>
  </si>
  <si>
    <t>December 2025</t>
  </si>
  <si>
    <t>2026-01</t>
  </si>
  <si>
    <t>January 2026</t>
  </si>
  <si>
    <t>2026-02</t>
  </si>
  <si>
    <t>February 2026</t>
  </si>
  <si>
    <t>2026-03</t>
  </si>
  <si>
    <t>March 2026</t>
  </si>
  <si>
    <t>2026-04</t>
  </si>
  <si>
    <t>April 2026</t>
  </si>
  <si>
    <t>Symbol</t>
  </si>
  <si>
    <t>Description</t>
  </si>
  <si>
    <t>Quantity</t>
  </si>
  <si>
    <t>Market Price</t>
  </si>
  <si>
    <t>Market Value</t>
  </si>
  <si>
    <t>Cost Price</t>
  </si>
  <si>
    <t>Unrealized</t>
  </si>
  <si>
    <t>TD Cost Basis</t>
  </si>
  <si>
    <t>*Cash</t>
  </si>
  <si>
    <t>USD</t>
  </si>
  <si>
    <t>$--</t>
  </si>
  <si>
    <t>MCHI</t>
  </si>
  <si>
    <t>ISHARES TR MSCI CHINA ETF</t>
  </si>
  <si>
    <t>VNAM</t>
  </si>
  <si>
    <t>GLOBAL X FDS MSCI VIETNAM ETF</t>
  </si>
  <si>
    <t>ARM</t>
  </si>
  <si>
    <t>ARM HOLDINGS PLC SPONSORED ADR</t>
  </si>
  <si>
    <t>NDAQ</t>
  </si>
  <si>
    <t>NASDAQ INC COM</t>
  </si>
  <si>
    <t>SHV</t>
  </si>
  <si>
    <t>ISHARES TR SHORT TREAS BD</t>
  </si>
  <si>
    <t>QYLD</t>
  </si>
  <si>
    <t>GLOBAL X FDS NASDAQ 100 COVER</t>
  </si>
  <si>
    <t>SGOV</t>
  </si>
  <si>
    <t>ISHARES TR 0-3 MNTH TREASRY</t>
  </si>
  <si>
    <t>KLIP</t>
  </si>
  <si>
    <t>KRANESHARES TRUST KRANESHARES CN</t>
  </si>
  <si>
    <t>RYLD</t>
  </si>
  <si>
    <t>GLOBAL X FDS RUSSELL 2000</t>
  </si>
  <si>
    <t>THW</t>
  </si>
  <si>
    <t>ABRDN WORLD HEALTHCARE FUND BEN INT SHS</t>
  </si>
  <si>
    <t>FLTR</t>
  </si>
  <si>
    <t>VANECK ETF TRUST IG FLOATING RATE</t>
  </si>
  <si>
    <t>PFRL</t>
  </si>
  <si>
    <t>PGIM ETF TR FLOATING RT INC</t>
  </si>
  <si>
    <t>ARM HOLDINGS PLC SPONSORED ADS</t>
  </si>
  <si>
    <t>GOOY</t>
  </si>
  <si>
    <t>TIDAL TR II YIELDMAX GOOGL</t>
  </si>
  <si>
    <t>ICLO</t>
  </si>
  <si>
    <t>POWERSHARES ACTIVELY MANAGED AAA CLO FLTNG RT</t>
  </si>
  <si>
    <t>VRIG</t>
  </si>
  <si>
    <t>POWERSHARES ACTIVELY MANAGED VAR RATE INVT</t>
  </si>
  <si>
    <t>CAG</t>
  </si>
  <si>
    <t>CONAGRA BRANDS INC COM</t>
  </si>
  <si>
    <t>CONY</t>
  </si>
  <si>
    <t>TIDAL TR II YIELDMAX COIN OP</t>
  </si>
  <si>
    <t>INVESCO ACTIVELY MANAGED EXCHA AAA CLO FLTNG RT</t>
  </si>
  <si>
    <t>JAAA</t>
  </si>
  <si>
    <t>JANUS DETROIT STR TR HENDRSON AAA CL</t>
  </si>
  <si>
    <t>NVDY</t>
  </si>
  <si>
    <t>TIDAL TR II YIELDMAX NVDA</t>
  </si>
  <si>
    <t>NVO</t>
  </si>
  <si>
    <t>NOVO-NORDISK A S ADR</t>
  </si>
  <si>
    <t>PBJ</t>
  </si>
  <si>
    <t>INVESCO EXCHANGE TRADED FD TR FOOD &amp; BEVERAGE</t>
  </si>
  <si>
    <t>INVESCO ACTIVELY MANAGED EXCHA VAR RATE INVT</t>
  </si>
  <si>
    <t>MSTY</t>
  </si>
  <si>
    <t>TIDAL TR II YIELDMAX MSTR OP</t>
  </si>
  <si>
    <t>O</t>
  </si>
  <si>
    <t>REALTY INCOME CORP COM</t>
  </si>
  <si>
    <t>SVOL</t>
  </si>
  <si>
    <t>SIMPLIFY EXCHANGE TRADED FUNDS VOLATILITY PREM</t>
  </si>
  <si>
    <t>FBY</t>
  </si>
  <si>
    <t>TIDAL TR II YIELDMAX META</t>
  </si>
  <si>
    <t>KHYB</t>
  </si>
  <si>
    <t>KRANESHARES TRUST ASIA PACIFIC ETF</t>
  </si>
  <si>
    <t>SJNK</t>
  </si>
  <si>
    <t>SPDR SER TR BLOOMBERG SHT TE</t>
  </si>
  <si>
    <t>YMAX</t>
  </si>
  <si>
    <t>TIDAL TR II YIELDMAX UNIVERS</t>
  </si>
  <si>
    <t>FLOT</t>
  </si>
  <si>
    <t>ISHARES TR FLTG RATE NT ETF</t>
  </si>
  <si>
    <t>BNDX</t>
  </si>
  <si>
    <t>VANGUARD CHARLOTTE FDS TOTAL INT BD ETF</t>
  </si>
  <si>
    <t>FLRT</t>
  </si>
  <si>
    <t>PACER FDS TR PAC ASSET FLTG</t>
  </si>
  <si>
    <t>KRANESHARES TRUST KWEB COVERD CALL</t>
  </si>
  <si>
    <t>KO</t>
  </si>
  <si>
    <t>COCA COLA CO COM</t>
  </si>
  <si>
    <t>PLTR</t>
  </si>
  <si>
    <t>PALANTIR TECHNOLOGIES INC CL A</t>
  </si>
  <si>
    <t>TSM</t>
  </si>
  <si>
    <t>TAIWAN SEMICONDUCTOR MFG LTD SPONSORED ADS</t>
  </si>
  <si>
    <t>MSFY</t>
  </si>
  <si>
    <t>KURV ETF TR KURV YIELD PREM</t>
  </si>
  <si>
    <t>SIRI</t>
  </si>
  <si>
    <t>SIRIUSXM HOLDINGS INC COMMON STOCK</t>
  </si>
  <si>
    <t>CLOZ</t>
  </si>
  <si>
    <t>SERIES PORTFOLIOS TR ELDRIDGE BBB B</t>
  </si>
  <si>
    <t>JBBB</t>
  </si>
  <si>
    <t>JANUS DETROIT STR TR B-BBB CLO ETF</t>
  </si>
  <si>
    <t>RISR</t>
  </si>
  <si>
    <t>TIDAL ETF TR FOLIOBEYOND ALTE</t>
  </si>
  <si>
    <t>SPDR SERIES TRUST BLOOMBERG SHT TE</t>
  </si>
  <si>
    <t>UTF</t>
  </si>
  <si>
    <t>COHEN &amp; STEERS INFRASTRUCTURE COM</t>
  </si>
  <si>
    <t>AIQ</t>
  </si>
  <si>
    <t>GLOBAL X FDS ARTIFICIAL ETF</t>
  </si>
  <si>
    <t>PLTY</t>
  </si>
  <si>
    <t>TIDAL TR II YIELDMAX PLTR OP</t>
  </si>
  <si>
    <t>SDIV</t>
  </si>
  <si>
    <t>GLOBAL X FDS SUPERDIVIDEND</t>
  </si>
  <si>
    <t>AEE</t>
  </si>
  <si>
    <t>AMEREN CORP COM</t>
  </si>
  <si>
    <t>BTE</t>
  </si>
  <si>
    <t>BAYTEX ENERGY CORP COM</t>
  </si>
  <si>
    <t>BWB</t>
  </si>
  <si>
    <t>BRIDGEWATER BANCSHARES INC COM</t>
  </si>
  <si>
    <t>FCO</t>
  </si>
  <si>
    <t>ABRDN GLOBAL INCOME FUND INC COM</t>
  </si>
  <si>
    <t>MGNI</t>
  </si>
  <si>
    <t>MAGNITE INC COM</t>
  </si>
  <si>
    <t>NFE</t>
  </si>
  <si>
    <t>NEW FORTRESS ENERGY INC COM CL A</t>
  </si>
  <si>
    <t>NRG</t>
  </si>
  <si>
    <t>NRG ENERGY INC COM NEW</t>
  </si>
  <si>
    <t>TIDAL TRUST I FOLIOBEYOND ALTE</t>
  </si>
  <si>
    <t>SCHD</t>
  </si>
  <si>
    <t>SCHWAB STRATEGIC TR US DIVIDEND EQ</t>
  </si>
  <si>
    <t>AMZP</t>
  </si>
  <si>
    <t>HPE</t>
  </si>
  <si>
    <t>HEWLETT PACKARD ENTERPRISE CO COM</t>
  </si>
  <si>
    <t>JEPQ</t>
  </si>
  <si>
    <t>J P MORGAN EXCHANGE TRADED FD NASDAQ EQT PREM</t>
  </si>
  <si>
    <t>LMT</t>
  </si>
  <si>
    <t>LOCKHEED MARTIN CORP COM</t>
  </si>
  <si>
    <t>SLDP</t>
  </si>
  <si>
    <t>SOLID POWER INC CLASS A COM</t>
  </si>
  <si>
    <t>TIDAL TRUST II YIELDMAX COIN OP</t>
  </si>
  <si>
    <t>DVYE</t>
  </si>
  <si>
    <t>ISHARES INC EM MKTS DIV ETF</t>
  </si>
  <si>
    <t>TIDAL TRUST II YIELDMAX META</t>
  </si>
  <si>
    <t>PACER FDS TR ARISTOTLE PACIFI</t>
  </si>
  <si>
    <t>TIDAL TRUST II YIELDMAX GOOGL</t>
  </si>
  <si>
    <t>TIDAL TRUST II YIELDMAX MSTR OP</t>
  </si>
  <si>
    <t>TIDAL TRUST II YIELDMAX NVDA</t>
  </si>
  <si>
    <t>TIDAL TRUST II YIELDMAX PLTR OP</t>
  </si>
  <si>
    <t>RKLB</t>
  </si>
  <si>
    <t>ROCKET LAB CORP COM</t>
  </si>
  <si>
    <t>UNH</t>
  </si>
  <si>
    <t>UNITEDHEALTH GROUP INC COM</t>
  </si>
  <si>
    <t>TIDAL TRUST II YIELDMAX UNIVERS</t>
  </si>
  <si>
    <t>UTF.RT</t>
  </si>
  <si>
    <t>COHEN &amp; STEERS INFRASTRUCTURE RT EXP 101625</t>
  </si>
  <si>
    <t>CIBR</t>
  </si>
  <si>
    <t>FIRST TR EXCHANGE TRADED FD II NASDAQ CYB ETF</t>
  </si>
  <si>
    <t>MARA</t>
  </si>
  <si>
    <t>MARA HOLDINGS INC COM</t>
  </si>
  <si>
    <t>PFFA</t>
  </si>
  <si>
    <t>ETFIS SER TR I VIRTUS INFRCAP</t>
  </si>
  <si>
    <t>SPDR SERIES TRUST STATE STREET SPD</t>
  </si>
  <si>
    <t>SCHG</t>
  </si>
  <si>
    <t>SCHWAB STRATEGIC TR US LCAP GR ETF</t>
  </si>
  <si>
    <t>ISHARES TR TRUST ISHARE 0-1</t>
  </si>
  <si>
    <t>IWM</t>
  </si>
  <si>
    <t>ISHARES TR RUSSELL 2000 ETF</t>
  </si>
  <si>
    <t>NFLX</t>
  </si>
  <si>
    <t>NETFLIX INC COM</t>
  </si>
  <si>
    <t>NTNX</t>
  </si>
  <si>
    <t>NUTANIX INC CL A</t>
  </si>
  <si>
    <t>ONDS</t>
  </si>
  <si>
    <t>ONDAS HLDGS INC COM NEW</t>
  </si>
  <si>
    <t>V</t>
  </si>
  <si>
    <t>VISA INC COM CL A</t>
  </si>
  <si>
    <t>VLY</t>
  </si>
  <si>
    <t>VALLEY NATL BANCORP COM</t>
  </si>
  <si>
    <t>FIRST TR EXCHANGE-TRADED FD II NASDAQ CYB ETF</t>
  </si>
  <si>
    <t>GDX260320P00088000</t>
  </si>
  <si>
    <t>GDX Mar 20 2026 88 Put</t>
  </si>
  <si>
    <t>MSFT</t>
  </si>
  <si>
    <t>MICROSOFT CORP COM</t>
  </si>
  <si>
    <t>NETFLIX INC. COM</t>
  </si>
  <si>
    <t>ONDAS INC COM NEW</t>
  </si>
  <si>
    <t>TAIWAN SEMICONDUCTOR MANUFACT SPONSORED ADS</t>
  </si>
  <si>
    <t>SPY260430P00510000</t>
  </si>
  <si>
    <t>SPY Apr 30 2026 510 Put</t>
  </si>
  <si>
    <t>BLK</t>
  </si>
  <si>
    <t>BLACKROCK INC COM</t>
  </si>
  <si>
    <t>HDV</t>
  </si>
  <si>
    <t>ISHARES TR CORE HIGH DV ETF</t>
  </si>
  <si>
    <t>INCY</t>
  </si>
  <si>
    <t>INCYTE CORP COM</t>
  </si>
  <si>
    <t>PFE</t>
  </si>
  <si>
    <t>PFIZER INC COM</t>
  </si>
  <si>
    <t>ISHARES TR 0-3 MTH TREASURY</t>
  </si>
  <si>
    <t>SPHD</t>
  </si>
  <si>
    <t>INVESCO EXCH TRADED FD TR II S&amp;P500 HDL VOL</t>
  </si>
  <si>
    <t>VRT</t>
  </si>
  <si>
    <t>VERTIV HOLDINGS CO COM CL A</t>
  </si>
  <si>
    <t>XLU</t>
  </si>
  <si>
    <t>SELECT SECTOR SPDR TR STATE STREET UTI</t>
  </si>
  <si>
    <t>Trade Date</t>
  </si>
  <si>
    <t>Entry Type</t>
  </si>
  <si>
    <t>Side</t>
  </si>
  <si>
    <t>Price</t>
  </si>
  <si>
    <t>Amount</t>
  </si>
  <si>
    <t>Commission</t>
  </si>
  <si>
    <t>01/03/2023</t>
  </si>
  <si>
    <t>Trade Entry</t>
  </si>
  <si>
    <t>buy</t>
  </si>
  <si>
    <t>02/03/2023</t>
  </si>
  <si>
    <t>12/13/2023</t>
  </si>
  <si>
    <t>12/21/2023</t>
  </si>
  <si>
    <t>12/28/2023</t>
  </si>
  <si>
    <t>01/08/2024</t>
  </si>
  <si>
    <t>02/01/2024</t>
  </si>
  <si>
    <t>03/07/2024</t>
  </si>
  <si>
    <t>03/08/2024</t>
  </si>
  <si>
    <t>03/12/2024</t>
  </si>
  <si>
    <t>04/01/2024</t>
  </si>
  <si>
    <t>04/18/2024</t>
  </si>
  <si>
    <t>04/29/2024</t>
  </si>
  <si>
    <t>05/01/2024</t>
  </si>
  <si>
    <t>05/02/2024</t>
  </si>
  <si>
    <t>05/30/2024</t>
  </si>
  <si>
    <t>06/03/2024</t>
  </si>
  <si>
    <t>06/24/2024</t>
  </si>
  <si>
    <t>07/01/2024</t>
  </si>
  <si>
    <t>07/23/2024</t>
  </si>
  <si>
    <t>07/26/2024</t>
  </si>
  <si>
    <t>07/30/2024</t>
  </si>
  <si>
    <t>08/01/2024</t>
  </si>
  <si>
    <t>08/12/2024</t>
  </si>
  <si>
    <t>08/26/2024</t>
  </si>
  <si>
    <t>08/30/2024</t>
  </si>
  <si>
    <t>09/23/2024</t>
  </si>
  <si>
    <t>10/03/2024</t>
  </si>
  <si>
    <t>11/01/2024</t>
  </si>
  <si>
    <t>11/25/2024</t>
  </si>
  <si>
    <t>11/27/2024</t>
  </si>
  <si>
    <t>12/02/2024</t>
  </si>
  <si>
    <t>12/03/2024</t>
  </si>
  <si>
    <t>12/19/2024</t>
  </si>
  <si>
    <t>12/20/2024</t>
  </si>
  <si>
    <t>12/23/2024</t>
  </si>
  <si>
    <t>12/31/2024</t>
  </si>
  <si>
    <t>01/02/2025</t>
  </si>
  <si>
    <t>Stock Split</t>
  </si>
  <si>
    <t>REMOVE, From QTY:-92.870068958, To QTY:30.956689653, Position Value:1254.74</t>
  </si>
  <si>
    <t>ADD, From QTY:-92.870068958, To QTY:30.956689653, Position Value:1254.74</t>
  </si>
  <si>
    <t>01/14/2025</t>
  </si>
  <si>
    <t>01/17/2025</t>
  </si>
  <si>
    <t>01/22/2025</t>
  </si>
  <si>
    <t>01/24/2025</t>
  </si>
  <si>
    <t>01/27/2025</t>
  </si>
  <si>
    <t>01/28/2025</t>
  </si>
  <si>
    <t>01/31/2025</t>
  </si>
  <si>
    <t>02/03/2025</t>
  </si>
  <si>
    <t>02/10/2025</t>
  </si>
  <si>
    <t>sell</t>
  </si>
  <si>
    <t>02/11/2025</t>
  </si>
  <si>
    <t>02/18/2025</t>
  </si>
  <si>
    <t>02/26/2025</t>
  </si>
  <si>
    <t>03/03/2025</t>
  </si>
  <si>
    <t>03/06/2025</t>
  </si>
  <si>
    <t>03/07/2025</t>
  </si>
  <si>
    <t>03/17/2025</t>
  </si>
  <si>
    <t>04/01/2025</t>
  </si>
  <si>
    <t>04/07/2025</t>
  </si>
  <si>
    <t>04/14/2025</t>
  </si>
  <si>
    <t>04/16/2025</t>
  </si>
  <si>
    <t>04/21/2025</t>
  </si>
  <si>
    <t>04/22/2025</t>
  </si>
  <si>
    <t>05/01/2025</t>
  </si>
  <si>
    <t>05/02/2025</t>
  </si>
  <si>
    <t>05/12/2025</t>
  </si>
  <si>
    <t>05/16/2025</t>
  </si>
  <si>
    <t>05/21/2025</t>
  </si>
  <si>
    <t>05/27/2025</t>
  </si>
  <si>
    <t>06/02/2025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</si>
  <si>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</si>
  <si>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</si>
  <si>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</si>
  <si>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</si>
  <si>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</si>
  <si>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</si>
  <si>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</si>
  <si>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06/23/2025</t>
  </si>
  <si>
    <t>06/25/2025</t>
  </si>
  <si>
    <t>HUT</t>
  </si>
  <si>
    <t>06/27/2025</t>
  </si>
  <si>
    <t>06/30/2025</t>
  </si>
  <si>
    <t>07/02/2025</t>
  </si>
  <si>
    <t>07/03/2025</t>
  </si>
  <si>
    <t>07/08/2025</t>
  </si>
  <si>
    <t>07/14/2025</t>
  </si>
  <si>
    <t>07/15/2025</t>
  </si>
  <si>
    <t>CONL</t>
  </si>
  <si>
    <t>07/17/2025</t>
  </si>
  <si>
    <t>NVDL</t>
  </si>
  <si>
    <t>07/18/2025</t>
  </si>
  <si>
    <t>RGTX</t>
  </si>
  <si>
    <t>07/21/2025</t>
  </si>
  <si>
    <t>07/22/2025</t>
  </si>
  <si>
    <t>07/24/2025</t>
  </si>
  <si>
    <t>07/25/2025</t>
  </si>
  <si>
    <t>07/28/2025</t>
  </si>
  <si>
    <t>SMCL</t>
  </si>
  <si>
    <t>07/29/2025</t>
  </si>
  <si>
    <t>07/30/2025</t>
  </si>
  <si>
    <t>07/31/2025</t>
  </si>
  <si>
    <t>08/01/2025</t>
  </si>
  <si>
    <t>08/04/2025</t>
  </si>
  <si>
    <t>08/05/2025</t>
  </si>
  <si>
    <t>08/06/2025</t>
  </si>
  <si>
    <t>08/07/2025</t>
  </si>
  <si>
    <t>08/08/2025</t>
  </si>
  <si>
    <t>08/11/2025</t>
  </si>
  <si>
    <t>08/12/2025</t>
  </si>
  <si>
    <t>08/13/2025</t>
  </si>
  <si>
    <t>08/15/2025</t>
  </si>
  <si>
    <t>08/22/2025</t>
  </si>
  <si>
    <t>08/25/2025</t>
  </si>
  <si>
    <t>08/29/2025</t>
  </si>
  <si>
    <t>09/25/2025</t>
  </si>
  <si>
    <t>UTF rights distribution (expiration: 2025-10-16)</t>
  </si>
  <si>
    <t>09/30/2025</t>
  </si>
  <si>
    <t>10/01/2025</t>
  </si>
  <si>
    <t>10/03/2025</t>
  </si>
  <si>
    <t>10/07/2025</t>
  </si>
  <si>
    <t>10/08/2025</t>
  </si>
  <si>
    <t>10/10/2025</t>
  </si>
  <si>
    <t>10/16/2025</t>
  </si>
  <si>
    <t>10/21/2025</t>
  </si>
  <si>
    <t>10/24/2025</t>
  </si>
  <si>
    <t>10/28/2025</t>
  </si>
  <si>
    <t>ReOrg CA</t>
  </si>
  <si>
    <t>Worthless Removal - UTF.RT</t>
  </si>
  <si>
    <t>11/06/2025</t>
  </si>
  <si>
    <t>11/11/2025</t>
  </si>
  <si>
    <t>11/14/2025</t>
  </si>
  <si>
    <t>11/19/2025</t>
  </si>
  <si>
    <t>11/28/2025</t>
  </si>
  <si>
    <t>12/02/2025</t>
  </si>
  <si>
    <t>REMOVE, From QTY:-107.591419353, To QTY:10.759141935, Position Value:1402.62</t>
  </si>
  <si>
    <t>ADD, From QTY:-107.591419353, To QTY:10.759141935, Position Value:1402.62</t>
  </si>
  <si>
    <t>12/03/2025</t>
  </si>
  <si>
    <t>12/04/2025</t>
  </si>
  <si>
    <t>12/08/2025</t>
  </si>
  <si>
    <t>ADD, From QTY:-52.696771042, To QTY:10.539354208, Position Value:1144.93</t>
  </si>
  <si>
    <t>REMOVE, From QTY:-52.696771042, To QTY:10.539354208, Position Value:1144.93</t>
  </si>
  <si>
    <t>12/15/2025</t>
  </si>
  <si>
    <t>12/23/2025</t>
  </si>
  <si>
    <t>12/29/2025</t>
  </si>
  <si>
    <t>01/02/2026</t>
  </si>
  <si>
    <t>01/05/2026</t>
  </si>
  <si>
    <t>01/06/2026</t>
  </si>
  <si>
    <t>01/08/2026</t>
  </si>
  <si>
    <t>01/09/2026</t>
  </si>
  <si>
    <t>01/13/2026</t>
  </si>
  <si>
    <t>ONDS260130P00012000</t>
  </si>
  <si>
    <t>01/16/2026</t>
  </si>
  <si>
    <t>01/21/2026</t>
  </si>
  <si>
    <t>01/27/2026</t>
  </si>
  <si>
    <t>02/02/2026</t>
  </si>
  <si>
    <t>02/06/2026</t>
  </si>
  <si>
    <t>02/10/2026</t>
  </si>
  <si>
    <t>02/12/2026</t>
  </si>
  <si>
    <t>02/19/2026</t>
  </si>
  <si>
    <t>03/02/2026</t>
  </si>
  <si>
    <t>03/03/2026</t>
  </si>
  <si>
    <t>03/05/2026</t>
  </si>
  <si>
    <t>03/06/2026</t>
  </si>
  <si>
    <t>03/13/2026</t>
  </si>
  <si>
    <t>03/17/2026</t>
  </si>
  <si>
    <t>03/18/2026</t>
  </si>
  <si>
    <t>03/26/2026</t>
  </si>
  <si>
    <t>04/01/2026</t>
  </si>
  <si>
    <t>04/06/2026</t>
  </si>
  <si>
    <t>04/09/2026</t>
  </si>
  <si>
    <t>04/10/2026</t>
  </si>
  <si>
    <t>04/13/2026</t>
  </si>
  <si>
    <t>04/15/2026</t>
  </si>
  <si>
    <t>04/21/2026</t>
  </si>
  <si>
    <t>04/24/2026</t>
  </si>
  <si>
    <t>04/27/2026</t>
  </si>
  <si>
    <t>04/28/2026</t>
  </si>
  <si>
    <t>04/30/2026</t>
  </si>
  <si>
    <t>Net Amt</t>
  </si>
  <si>
    <t>Journal Entry(Cash)</t>
  </si>
  <si>
    <t>ID: b4729546-67b3-483d-8c77-152913c7a89a - STKSWI20230103054511111950</t>
  </si>
  <si>
    <t>ID: e2816bfb-b30f-4f60-81e2-62052d38dfc8 - STKSWI20230103025053112708</t>
  </si>
  <si>
    <t>ID: 8afec0a1-64d2-4776-b0bb-06882c1a57fd - STKSWI20230103025331112736</t>
  </si>
  <si>
    <t>ID: b45e44a3-b88d-4ef0-84c6-eae79ad816d0 - STKSWI20230203052647162913</t>
  </si>
  <si>
    <t>ID: cb2f3f40-0d7d-4fc6-bf07-a123bb06ef44 - STKSWI20230203052813162918</t>
  </si>
  <si>
    <t>ID: b63c5274-577d-4864-ba79-59552edf0cf0 - STKSWI20230203053002162922</t>
  </si>
  <si>
    <t>ID: 3857e917-92dd-48f5-a477-8358503b48e0 - STKSWI20230203053121162925</t>
  </si>
  <si>
    <t>06/13/2023</t>
  </si>
  <si>
    <t>Dividends</t>
  </si>
  <si>
    <t>Cash DIV @ 0.091277, Pos QTY: 1.084577801, Rec Date: 2023-06-08</t>
  </si>
  <si>
    <t>Div. Adj(NRA Withheld)</t>
  </si>
  <si>
    <t>DIV tax withholding on $0.37 at 15% for tax country THA; w8w9: w8</t>
  </si>
  <si>
    <t>Cash DIV @ 0.337912, Pos QTY: 1.084577801, Rec Date: 2023-06-08</t>
  </si>
  <si>
    <t>DIV tax withholding on $0.1 at 15% for tax country THA; w8w9: w8</t>
  </si>
  <si>
    <t>07/10/2023</t>
  </si>
  <si>
    <t>Cash DIV @ 0.029971, Pos QTY: 2, Rec Date: 2023-06-30</t>
  </si>
  <si>
    <t>12/12/2023</t>
  </si>
  <si>
    <t>ID: 5eb026bc-02b2-420a-8163-637c02d4ab07 - STKSWI20231213031023999052</t>
  </si>
  <si>
    <t>ID: 19137a2a-257e-40c7-863f-99bed01e969b - STKSWI20231221043059031020</t>
  </si>
  <si>
    <t>12/27/2023</t>
  </si>
  <si>
    <t>Cash DIV @ 0.994126, Pos QTY: 1.084577801, Rec Date: 2023-12-21</t>
  </si>
  <si>
    <t>DIV tax withholding on $1.08 at 15% for tax country THA; w8w9: w8</t>
  </si>
  <si>
    <t>ID: 09c37510-9bc2-44e1-9d1b-62867750d5fb - STKSWI20231228053645057992</t>
  </si>
  <si>
    <t>Cash DIV @ 0.05168, Pos QTY: 2, Rec Date: 2023-12-29</t>
  </si>
  <si>
    <t>ID: e65045d0-447e-4064-83ea-b959ff3c1835 - STKSWI20240108032719103957</t>
  </si>
  <si>
    <t>ID: c0ea41b8-87c9-47da-b9dd-43ae9c62ec85 - STKSWI20240201051107229712</t>
  </si>
  <si>
    <t>Cash DIV @ 0.447689, Pos QTY: 1.28167889, Rec Date: 2024-03-04</t>
  </si>
  <si>
    <t>DIV tax withholding on $0.57 at 15% for tax country THA; w8w9: w8</t>
  </si>
  <si>
    <t>ID: c9955775-a483-4de7-aa8d-4f924fec428e - STKSWI20240307055921511775</t>
  </si>
  <si>
    <t>ID: b77cd62d-a305-4db7-9248-764b343b42c7 - STKSWI20240308031250520265</t>
  </si>
  <si>
    <t>ID: dc34fd94-bff4-43ba-b75d-c6a002a9d1aa - STKSWI20240312052311551772</t>
  </si>
  <si>
    <t>ID: 6588f7bc-a372-44a1-bb15-46ef94aa70ca - STKSWI20240312054413551968</t>
  </si>
  <si>
    <t>03/26/2024</t>
  </si>
  <si>
    <t>Cash DIV @ 0.178, Pos QTY: 2.324061196, Rec Date: 2024-03-19</t>
  </si>
  <si>
    <t>DIV tax withholding on $0.41 at 15% for tax country THA; w8w9: w8</t>
  </si>
  <si>
    <t>03/28/2024</t>
  </si>
  <si>
    <t>DIV tax withholding on $0.23 at 15% for tax country THA; w8w9: w8</t>
  </si>
  <si>
    <t>Cash DIV @ 0.22, Pos QTY: 1.031163562, Rec Date: 2024-03-14</t>
  </si>
  <si>
    <t>ID: 435c3202-2f87-4370-9069-f79ef62e8401 - STKSWI20240401022927733357</t>
  </si>
  <si>
    <t>ID: 82b7046f-7243-495d-882e-31d1ec6a2aa2 - STKSWI20240401025816735120</t>
  </si>
  <si>
    <t>ID: 4432c579-1035-48e6-b68f-0c71585c936f - STKSWI20240401030332735375</t>
  </si>
  <si>
    <t>04/05/2024</t>
  </si>
  <si>
    <t>DIV tax withholding on $0.31 at 15% for tax country THA; w8w9: w8</t>
  </si>
  <si>
    <t>DIV tax withholding on $1.48 at 15% for tax country THA; w8w9: w8</t>
  </si>
  <si>
    <t>Cash DIV @ 0.481925, Pos QTY: 3.066391235, Rec Date: 2024-04-02</t>
  </si>
  <si>
    <t>Cash DIV @ 0.449911, Pos QTY: 0.693025941, Rec Date: 2024-04-02</t>
  </si>
  <si>
    <t>ID: b3395d97-4841-4216-9eed-9234484b20f6 - STKSWI20240418061446904605</t>
  </si>
  <si>
    <t>ID: 328667d6-dc1a-441d-869b-09c3e277311b - STKSWI20240418062102904630</t>
  </si>
  <si>
    <t>ID: 2d1509ce-b982-474e-8b69-7d3747c17a07 - STKSWI20240429051501003566</t>
  </si>
  <si>
    <t>04/30/2024</t>
  </si>
  <si>
    <t>Cash DIV @ 0.1723, Pos QTY: 17.541234321, Rec Date: 2024-04-23</t>
  </si>
  <si>
    <t>DIV tax withholding on $4.2 at 15% for tax country THA; w8w9: w8</t>
  </si>
  <si>
    <t>DIV tax withholding on $7.91 at 15% for tax country THA; w8w9: w8</t>
  </si>
  <si>
    <t>DIV tax withholding on $3.02 at 15% for tax country THA; w8w9: w8</t>
  </si>
  <si>
    <t>Cash DIV @ 0.527163, Pos QTY: 15, Rec Date: 2024-04-29</t>
  </si>
  <si>
    <t>Cash DIV @ 0.1167, Pos QTY: 36, Rec Date: 2024-04-23</t>
  </si>
  <si>
    <t>ID: 43e06528-187c-421d-bfa6-542542058edb - STKSWI20240501013431036479</t>
  </si>
  <si>
    <t>05/03/2024</t>
  </si>
  <si>
    <t>ID: bce55d1a-c4c6-49ed-810a-57ffddaf5cff - STKSWO20240503123329067130</t>
  </si>
  <si>
    <t>05/07/2024</t>
  </si>
  <si>
    <t>DIV tax withholding on $9.47 at 15% for tax country THA; w8w9: w8</t>
  </si>
  <si>
    <t>DIV tax withholding on $0.3 at 15% for tax country THA; w8w9: w8</t>
  </si>
  <si>
    <t>Cash DIV @ 0.463666, Pos QTY: 20.420107389, Rec Date: 2024-05-02</t>
  </si>
  <si>
    <t>Cash DIV @ 0.427591, Pos QTY: 0.693025941, Rec Date: 2024-05-02</t>
  </si>
  <si>
    <t>05/20/2024</t>
  </si>
  <si>
    <t>ID: fe0c568c-b4e0-4e91-9ab2-3bcdc19b8cd7 - STKSWO20240519012557228018</t>
  </si>
  <si>
    <t>05/29/2024</t>
  </si>
  <si>
    <t>Cash DIV @ 0.1654, Pos QTY: 12.825266362, Rec Date: 2024-05-21</t>
  </si>
  <si>
    <t>Cash DIV @ 0.1628, Pos QTY: 17.541234321, Rec Date: 2024-05-21</t>
  </si>
  <si>
    <t>DIV tax withholding on $2.12 at 15% for tax country THA; w8w9: w8</t>
  </si>
  <si>
    <t>DIV tax withholding on $2.86 at 15% for tax country THA; w8w9: w8</t>
  </si>
  <si>
    <t>ID: daa674dd-0885-4691-a6d5-221fac7141a9 - STKSWI20240530051922390749</t>
  </si>
  <si>
    <t>05/31/2024</t>
  </si>
  <si>
    <t>DIV tax withholding on $15.24 at 15% for tax country THA; w8w9: w8</t>
  </si>
  <si>
    <t>Cash DIV @ 0.507881, Pos QTY: 30, Rec Date: 2024-05-30</t>
  </si>
  <si>
    <t>DIV tax withholding on $4.55 at 15% for tax country THA; w8w9: w8</t>
  </si>
  <si>
    <t>Cash DIV @ 0.1167, Pos QTY: 39, Rec Date: 2024-05-23</t>
  </si>
  <si>
    <t>ID: 432b9739-1d30-4f1a-8302-c678a16506e0 - STKSWI20240603014027449851</t>
  </si>
  <si>
    <t>ID: 0bcc58f8-7822-40e3-b686-43fa90651a45 - STKSWI20240603022207453173</t>
  </si>
  <si>
    <t>ID: 6139b781-1ef9-4691-8e9f-a63a0074041d - STKSWI20240603025706455658</t>
  </si>
  <si>
    <t>06/06/2024</t>
  </si>
  <si>
    <t>DIV tax withholding on $4.97 at 15% for tax country THA; w8w9: w8</t>
  </si>
  <si>
    <t>Cash DIV @ 0.1302, Pos QTY: 38.140942243, Rec Date: 2024-06-03</t>
  </si>
  <si>
    <t>06/07/2024</t>
  </si>
  <si>
    <t>DIV tax withholding on $13.98 at 15% for tax country THA; w8w9: w8</t>
  </si>
  <si>
    <t>DIV tax withholding on $1.49 at 15% for tax country THA; w8w9: w8</t>
  </si>
  <si>
    <t>Cash DIV @ 0.439724, Pos QTY: 11.969197426, Rec Date: 2024-06-03</t>
  </si>
  <si>
    <t>Cash DIV @ 0.472298, Pos QTY: 29.590335818, Rec Date: 2024-06-03</t>
  </si>
  <si>
    <t>DIV tax withholding on $5.26 at 15% for tax country THA; w8w9: w8</t>
  </si>
  <si>
    <t>DIV tax withholding on $4.11 at 15% for tax country THA; w8w9: w8</t>
  </si>
  <si>
    <t>Cash DIV @ 0.6858, Pos QTY: 6, Rec Date: 2024-06-06</t>
  </si>
  <si>
    <t>Cash DIV @ 0.3737, Pos QTY: 4, Rec Date: 2024-06-03</t>
  </si>
  <si>
    <t>06/17/2024</t>
  </si>
  <si>
    <t>DIV tax withholding on $0.34 at 15% for tax country THA; w8w9: w8</t>
  </si>
  <si>
    <t>Cash DIV @ 0.190546, Pos QTY: 1.802738992, Rec Date: 2024-06-11</t>
  </si>
  <si>
    <t>ID: 016981e5-4d1a-4046-8611-9ba46609a0f9 - STKSWI20240624013328831826</t>
  </si>
  <si>
    <t>06/28/2024</t>
  </si>
  <si>
    <t>DIV tax withholding on $0.25 at 15% for tax country THA; w8w9: w8</t>
  </si>
  <si>
    <t>DIV tax withholding on $23 at 15% for tax country THA; w8w9: w8</t>
  </si>
  <si>
    <t>Cash DIV @ 0.459931, Pos QTY: 50, Rec Date: 2024-06-27</t>
  </si>
  <si>
    <t>Cash DIV @ 0.24, Pos QTY: 1.031163562, Rec Date: 2024-06-14</t>
  </si>
  <si>
    <t>Cash DIV @ 0.1167, Pos QTY: 39, Rec Date: 2024-06-21</t>
  </si>
  <si>
    <t>ID: 7970ca21-8ea9-4011-a68d-9a65c190219d - STKSWI20240701021550010994</t>
  </si>
  <si>
    <t>Cash DIV @ 0.1686, Pos QTY: 17.541234321, Rec Date: 2024-06-24</t>
  </si>
  <si>
    <t>DIV tax withholding on $2.28 at 15% for tax country THA; w8w9: w8</t>
  </si>
  <si>
    <t>DIV tax withholding on $2.96 at 15% for tax country THA; w8w9: w8</t>
  </si>
  <si>
    <t>Cash DIV @ 0.1608, Pos QTY: 14.175986007, Rec Date: 2024-06-24</t>
  </si>
  <si>
    <t>07/05/2024</t>
  </si>
  <si>
    <t>Cash DIV @ 0.002333, Pos QTY: 4, Rec Date: 2024-06-27</t>
  </si>
  <si>
    <t>Cash DIV @ 0.466218, Pos QTY: 35.523463203, Rec Date: 2024-07-01</t>
  </si>
  <si>
    <t>DIV tax withholding on $6 at 15% for tax country THA; w8w9: w8</t>
  </si>
  <si>
    <t>DIV tax withholding on $16.56 at 15% for tax country THA; w8w9: w8</t>
  </si>
  <si>
    <t>Cash DIV @ 0.4388, Pos QTY: 16.524166029, Rec Date: 2024-07-01</t>
  </si>
  <si>
    <t>DIV tax withholding on $7.25 at 15% for tax country THA; w8w9: w8</t>
  </si>
  <si>
    <t>Cash DIV @ 0.1284, Pos QTY: 46.723644332, Rec Date: 2024-07-01</t>
  </si>
  <si>
    <t>07/08/2024</t>
  </si>
  <si>
    <t>Cash DIV @ 0.33133, Pos QTY: 6, Rec Date: 2024-07-01</t>
  </si>
  <si>
    <t>Cash DIV @ 0.4679, Pos QTY: 12, Rec Date: 2024-07-05</t>
  </si>
  <si>
    <t>DIV tax withholding on $1.99 at 15% for tax country THA; w8w9: w8</t>
  </si>
  <si>
    <t>DIV tax withholding on $5.61 at 15% for tax country THA; w8w9: w8</t>
  </si>
  <si>
    <t>Cash DIV @ 2.4707, Pos QTY: 3.268435561, Rec Date: 2024-07-05</t>
  </si>
  <si>
    <t>DIV tax withholding on $8.08 at 15% for tax country THA; w8w9: w8</t>
  </si>
  <si>
    <t>Cash DIV @ 1.5732, Pos QTY: 18, Rec Date: 2024-07-05</t>
  </si>
  <si>
    <t>DIV tax withholding on $28.32 at 15% for tax country THA; w8w9: w8</t>
  </si>
  <si>
    <t>ID: 91eb836f-96dd-465a-a2ca-17b4db9b8d9f - STKSWI20240723120957481246</t>
  </si>
  <si>
    <t>ID: 965e8fb7-39a7-4a91-9ea2-ca6175a367bf - STKSWI20240723114828480988</t>
  </si>
  <si>
    <t>ID: e8176752-9248-4ce2-be95-ddb13cfeec65 - STKSWI20240723034243488746</t>
  </si>
  <si>
    <t>ID: 22d5e32e-b6fe-4bc1-b496-cf158c253ac7 - STKSWI20240723022935485862</t>
  </si>
  <si>
    <t>ID: fb3da4f9-e12e-4153-9dfa-385292450e97 - STKSWI20240723023142485964</t>
  </si>
  <si>
    <t>DIV tax withholding on $0.83 at 15% for tax country THA; w8w9: w8</t>
  </si>
  <si>
    <t>DIV tax withholding on $1.27 at 15% for tax country THA; w8w9: w8</t>
  </si>
  <si>
    <t>Cash DIV @ 0.12758, Pos QTY: 6.524491072, Rec Date: 2024-07-22</t>
  </si>
  <si>
    <t>Cash DIV @ 0.14088, Pos QTY: 9, Rec Date: 2024-07-22</t>
  </si>
  <si>
    <t>07/29/2024</t>
  </si>
  <si>
    <t>DIV tax withholding on $3.11 at 15% for tax country THA; w8w9: w8</t>
  </si>
  <si>
    <t>Cash DIV @ 0.1774, Pos QTY: 17.541234321, Rec Date: 2024-07-22</t>
  </si>
  <si>
    <t>Cash DIV @ 0.1605, Pos QTY: 14.175986007, Rec Date: 2024-07-22</t>
  </si>
  <si>
    <t>07/31/2024</t>
  </si>
  <si>
    <t>Cash DIV @ 0.401501, Pos QTY: 72.34105973, Rec Date: 2024-07-30</t>
  </si>
  <si>
    <t>DIV tax withholding on $29.05 at 15% for tax country THA; w8w9: w8</t>
  </si>
  <si>
    <t>Cash DIV @ 0.1167, Pos QTY: 39, Rec Date: 2024-07-24</t>
  </si>
  <si>
    <t>ID: ea53a052-02ea-453b-ad30-5e4b84602fb3 - STKSWI20240802020128725533</t>
  </si>
  <si>
    <t>08/06/2024</t>
  </si>
  <si>
    <t>DIV tax withholding on $6.62 at 15% for tax country THA; w8w9: w8</t>
  </si>
  <si>
    <t>DIV tax withholding on $19.02 at 15% for tax country THA; w8w9: w8</t>
  </si>
  <si>
    <t>Cash DIV @ 0.1222, Pos QTY: 54.208379411, Rec Date: 2024-08-01</t>
  </si>
  <si>
    <t>DIV tax withholding on $8.75 at 15% for tax country THA; w8w9: w8</t>
  </si>
  <si>
    <t>Cash DIV @ 0.487904, Pos QTY: 38.976441763, Rec Date: 2024-08-01</t>
  </si>
  <si>
    <t>Cash DIV @ 0.45325, Pos QTY: 19.315514639, Rec Date: 2024-08-01</t>
  </si>
  <si>
    <t>08/07/2024</t>
  </si>
  <si>
    <t>DIV tax withholding on $3.5 at 15% for tax country THA; w8w9: w8</t>
  </si>
  <si>
    <t>Cash DIV @ 0.264122, Pos QTY: 5.640037213, Rec Date: 2024-08-01</t>
  </si>
  <si>
    <t>Cash DIV @ 0.34966, Pos QTY: 10, Rec Date: 2024-08-01</t>
  </si>
  <si>
    <t>08/08/2024</t>
  </si>
  <si>
    <t>DIV tax withholding on $4.09 at 15% for tax country THA; w8w9: w8</t>
  </si>
  <si>
    <t>DIV tax withholding on $18.11 at 15% for tax country THA; w8w9: w8</t>
  </si>
  <si>
    <t>DIV tax withholding on $5.99 at 15% for tax country THA; w8w9: w8</t>
  </si>
  <si>
    <t>Cash DIV @ 1.0061, Pos QTY: 18, Rec Date: 2024-08-07</t>
  </si>
  <si>
    <t>Cash DIV @ 0.4993, Pos QTY: 12, Rec Date: 2024-08-07</t>
  </si>
  <si>
    <t>Cash DIV @ 1.2512, Pos QTY: 3.268435561, Rec Date: 2024-08-07</t>
  </si>
  <si>
    <t>ID: caeb04d0-69b1-4617-b0c2-7119293c95d8 - STKSWI20240812014143904038</t>
  </si>
  <si>
    <t>08/23/2024</t>
  </si>
  <si>
    <t>Cash DIV @ 0.12577, Pos QTY: 25.187318196, Rec Date: 2024-08-19</t>
  </si>
  <si>
    <t>DIV tax withholding on $3.17 at 15% for tax country THA; w8w9: w8</t>
  </si>
  <si>
    <t>DIV tax withholding on $6.85 at 15% for tax country THA; w8w9: w8</t>
  </si>
  <si>
    <t>Cash DIV @ 0.15044, Pos QTY: 45.55663872, Rec Date: 2024-08-19</t>
  </si>
  <si>
    <t>DIV tax withholding on $3.14 at 15% for tax country THA; w8w9: w8</t>
  </si>
  <si>
    <t>Cash DIV @ 0.362338, Pos QTY: 1.322935665, Rec Date: 2024-08-16</t>
  </si>
  <si>
    <t>Cash DIV @ 0.1791, Pos QTY: 17.541234321, Rec Date: 2024-08-19</t>
  </si>
  <si>
    <t>Cash DIV @ 0.1608, Pos QTY: 14.175986007, Rec Date: 2024-08-19</t>
  </si>
  <si>
    <t>08/29/2024</t>
  </si>
  <si>
    <t>DIV tax withholding on $1.95 at 15% for tax country THA; w8w9: w8</t>
  </si>
  <si>
    <t>Cash DIV @ 0.35, Pos QTY: 5.573140699, Rec Date: 2024-08-01</t>
  </si>
  <si>
    <t>DIV tax withholding on $4.66 at 15% for tax country THA; w8w9: w8</t>
  </si>
  <si>
    <t>DIV tax withholding on $27.43 at 15% for tax country THA; w8w9: w8</t>
  </si>
  <si>
    <t>Cash DIV @ 0.3, Pos QTY: 15.520319786, Rec Date: 2024-08-27</t>
  </si>
  <si>
    <t>Cash DIV @ 0.379142, Pos QTY: 72.34105973, Rec Date: 2024-08-29</t>
  </si>
  <si>
    <t>Cash DIV @ 0.1167, Pos QTY: 39, Rec Date: 2024-08-23</t>
  </si>
  <si>
    <t>09/06/2024</t>
  </si>
  <si>
    <t>Cash DIV @ 0.1328, Pos QTY: 73.436117787, Rec Date: 2024-09-03</t>
  </si>
  <si>
    <t>DIV tax withholding on $9.75 at 15% for tax country THA; w8w9: w8</t>
  </si>
  <si>
    <t>DIV tax withholding on $15.04 at 15% for tax country THA; w8w9: w8</t>
  </si>
  <si>
    <t>DIV tax withholding on $22.75 at 15% for tax country THA; w8w9: w8</t>
  </si>
  <si>
    <t>Cash DIV @ 0.443547, Pos QTY: 33.902203759, Rec Date: 2024-09-03</t>
  </si>
  <si>
    <t>Cash DIV @ 0.475462, Pos QTY: 47.842151366, Rec Date: 2024-09-03</t>
  </si>
  <si>
    <t>09/09/2024</t>
  </si>
  <si>
    <t>DIV tax withholding on $8 at 15% for tax country THA; w8w9: w8</t>
  </si>
  <si>
    <t>DIV tax withholding on $10.66 at 15% for tax country THA; w8w9: w8</t>
  </si>
  <si>
    <t>DIV tax withholding on $7.15 at 15% for tax country THA; w8w9: w8</t>
  </si>
  <si>
    <t>DIV tax withholding on $18.78 at 15% for tax country THA; w8w9: w8</t>
  </si>
  <si>
    <t>DIV tax withholding on $20.4 at 15% for tax country THA; w8w9: w8</t>
  </si>
  <si>
    <t>DIV tax withholding on $4.81 at 15% for tax country THA; w8w9: w8</t>
  </si>
  <si>
    <t>Cash DIV @ 0.278872, Pos QTY: 28.701050925, Rec Date: 2024-09-03</t>
  </si>
  <si>
    <t>Cash DIV @ 0.36755, Pos QTY: 29, Rec Date: 2024-09-03</t>
  </si>
  <si>
    <t>Cash DIV @ 0.3577, Pos QTY: 20, Rec Date: 2024-09-06</t>
  </si>
  <si>
    <t>Cash DIV @ 1.0432, Pos QTY: 18, Rec Date: 2024-09-06</t>
  </si>
  <si>
    <t>Cash DIV @ 1.8541, Pos QTY: 11, Rec Date: 2024-09-06</t>
  </si>
  <si>
    <t>Cash DIV @ 1.3548, Pos QTY: 3.548793608, Rec Date: 2024-09-06</t>
  </si>
  <si>
    <t>09/13/2024</t>
  </si>
  <si>
    <t>DIV tax withholding on $0.72 at 15% for tax country THA; w8w9: w8</t>
  </si>
  <si>
    <t>Cash DIV @ 0.263, Pos QTY: 2.743781906, Rec Date: 2024-09-03</t>
  </si>
  <si>
    <t>09/27/2024</t>
  </si>
  <si>
    <t>DIV tax withholding on $7.35 at 15% for tax country THA; w8w9: w8</t>
  </si>
  <si>
    <t>DIV tax withholding on $0.45 at 15% for tax country THA; w8w9: w8</t>
  </si>
  <si>
    <t>DIV tax withholding on $3.21 at 15% for tax country THA; w8w9: w8</t>
  </si>
  <si>
    <t>Cash DIV @ 0.16144, Pos QTY: 45.55663872, Rec Date: 2024-09-23</t>
  </si>
  <si>
    <t>Cash DIV @ 0.24, Pos QTY: 1.031163562, Rec Date: 2024-09-13</t>
  </si>
  <si>
    <t>Cash DIV @ 0.12264, Pos QTY: 3.701887278, Rec Date: 2024-09-23</t>
  </si>
  <si>
    <t>Cash DIV @ 0.12748, Pos QTY: 25.187318196, Rec Date: 2024-09-23</t>
  </si>
  <si>
    <t>09/30/2024</t>
  </si>
  <si>
    <t>STKSWI20240928053814718834</t>
  </si>
  <si>
    <t>DIV tax withholding on $4.35 at 15% for tax country THA; w8w9: w8</t>
  </si>
  <si>
    <t>Cash DIV @ 0.28, Pos QTY: 15.520319786, Rec Date: 2024-09-25</t>
  </si>
  <si>
    <t>Cash DIV @ 0.1807, Pos QTY: 17.541234321, Rec Date: 2024-09-23</t>
  </si>
  <si>
    <t>DIV tax withholding on $36.65 at 15% for tax country THA; w8w9: w8</t>
  </si>
  <si>
    <t>Cash DIV @ 0.394607, Pos QTY: 92.870068958, Rec Date: 2024-09-27</t>
  </si>
  <si>
    <t>DIV tax withholding on $2.29 at 15% for tax country THA; w8w9: w8</t>
  </si>
  <si>
    <t>Cash DIV @ 0.1617, Pos QTY: 14.175986007, Rec Date: 2024-09-23</t>
  </si>
  <si>
    <t>Cash DIV @ 0.1167, Pos QTY: 39, Rec Date: 2024-09-23</t>
  </si>
  <si>
    <t>10/04/2024</t>
  </si>
  <si>
    <t>DIV tax withholding on $14.57 at 15% for tax country THA; w8w9: w8</t>
  </si>
  <si>
    <t>DIV tax withholding on $21.74 at 15% for tax country THA; w8w9: w8</t>
  </si>
  <si>
    <t>DIV tax withholding on $9.52 at 15% for tax country THA; w8w9: w8</t>
  </si>
  <si>
    <t>DIV tax withholding on $5.11 at 15% for tax country THA; w8w9: w8</t>
  </si>
  <si>
    <t>Cash DIV @ 0.1296, Pos QTY: 73.436117787, Rec Date: 2024-10-01</t>
  </si>
  <si>
    <t>Cash DIV @ 0.2554, Pos QTY: 20, Rec Date: 2024-10-03</t>
  </si>
  <si>
    <t>Cash DIV @ 0.429639, Pos QTY: 33.902203759, Rec Date: 2024-10-01</t>
  </si>
  <si>
    <t>Cash DIV @ 0.454424, Pos QTY: 47.842151366, Rec Date: 2024-10-01</t>
  </si>
  <si>
    <t>10/07/2024</t>
  </si>
  <si>
    <t>DIV tax withholding on $7.82 at 15% for tax country THA; w8w9: w8</t>
  </si>
  <si>
    <t>DIV tax withholding on $9.86 at 15% for tax country THA; w8w9: w8</t>
  </si>
  <si>
    <t>Cash DIV @ 0.272602, Pos QTY: 28.701050925, Rec Date: 2024-10-01</t>
  </si>
  <si>
    <t>Cash DIV @ 0.33983, Pos QTY: 29, Rec Date: 2024-10-01</t>
  </si>
  <si>
    <t>10/11/2024</t>
  </si>
  <si>
    <t>DIV tax withholding on $8.31 at 15% for tax country THA; w8w9: w8</t>
  </si>
  <si>
    <t>DIV tax withholding on $16.54 at 15% for tax country THA; w8w9: w8</t>
  </si>
  <si>
    <t>Cash DIV @ 0.9231, Pos QTY: 9, Rec Date: 2024-10-10</t>
  </si>
  <si>
    <t>Cash DIV @ 1.0999, Pos QTY: 15.038614962, Rec Date: 2024-10-10</t>
  </si>
  <si>
    <t>10/15/2024</t>
  </si>
  <si>
    <t>Cash DIV @ 0.2635, Pos QTY: 2.743781906, Rec Date: 2024-10-01</t>
  </si>
  <si>
    <t>10/18/2024</t>
  </si>
  <si>
    <t>DIV tax withholding on $44.93 at 15% for tax country THA; w8w9: w8</t>
  </si>
  <si>
    <t>Cash DIV @ 1.1098, Pos QTY: 40.485402082, Rec Date: 2024-10-17</t>
  </si>
  <si>
    <t>10/25/2024</t>
  </si>
  <si>
    <t>DIV tax withholding on $92.36 at 15% for tax country THA; w8w9: w8</t>
  </si>
  <si>
    <t>DIV tax withholding on $3.69 at 15% for tax country THA; w8w9: w8</t>
  </si>
  <si>
    <t>Cash DIV @ 0.15778, Pos QTY: 52.66602672, Rec Date: 2024-10-21</t>
  </si>
  <si>
    <t>Cash DIV @ 4.1981, Pos QTY: 22, Rec Date: 2024-10-24</t>
  </si>
  <si>
    <t>Cash DIV @ 0.11997, Pos QTY: 30.716983096, Rec Date: 2024-10-21</t>
  </si>
  <si>
    <t>10/28/2024</t>
  </si>
  <si>
    <t>DIV tax withholding on $2.35 at 15% for tax country THA; w8w9: w8</t>
  </si>
  <si>
    <t>Cash DIV @ 0.1831, Pos QTY: 17.541234321, Rec Date: 2024-10-21</t>
  </si>
  <si>
    <t>Cash DIV @ 0.1655, Pos QTY: 14.175986007, Rec Date: 2024-10-21</t>
  </si>
  <si>
    <t>10/31/2024</t>
  </si>
  <si>
    <t>Cash DIV @ 0.28, Pos QTY: 28.277319647, Rec Date: 2024-10-28</t>
  </si>
  <si>
    <t>DIV tax withholding on $56.73 at 15% for tax country THA; w8w9: w8</t>
  </si>
  <si>
    <t>Cash DIV @ 0.1167, Pos QTY: 39, Rec Date: 2024-10-24</t>
  </si>
  <si>
    <t>Cash DIV @ 0.61086, Pos QTY: 92.870068958, Rec Date: 2024-10-30</t>
  </si>
  <si>
    <t>Cash DIV @ 0.201333, Pos QTY: 9, Rec Date: 2024-10-30</t>
  </si>
  <si>
    <t>DIV tax withholding on $1.81 at 15% for tax country THA; w8w9: w8</t>
  </si>
  <si>
    <t>DIV tax withholding on $7.92 at 15% for tax country THA; w8w9: w8</t>
  </si>
  <si>
    <t>DIV tax withholding on $10.94 at 15% for tax country THA; w8w9: w8</t>
  </si>
  <si>
    <t>Cash DIV @ 0.3771, Pos QTY: 29, Rec Date: 2024-10-31</t>
  </si>
  <si>
    <t>11/06/2024</t>
  </si>
  <si>
    <t>DIV tax withholding on $9.15 at 15% for tax country THA; w8w9: w8</t>
  </si>
  <si>
    <t>DIV tax withholding on $22.92 at 15% for tax country THA; w8w9: w8</t>
  </si>
  <si>
    <t>DIV tax withholding on $15.22 at 15% for tax country THA; w8w9: w8</t>
  </si>
  <si>
    <t>Cash DIV @ 0.116, Pos QTY: 78.917678137, Rec Date: 2024-11-01</t>
  </si>
  <si>
    <t>Cash DIV @ 0.466849, Pos QTY: 49.103173973, Rec Date: 2024-11-01</t>
  </si>
  <si>
    <t>Cash DIV @ 0.415164, Pos QTY: 36.6625952, Rec Date: 2024-11-01</t>
  </si>
  <si>
    <t>11/07/2024</t>
  </si>
  <si>
    <t>DIV tax withholding on $7.96 at 15% for tax country THA; w8w9: w8</t>
  </si>
  <si>
    <t>DIV tax withholding on $9.99 at 15% for tax country THA; w8w9: w8</t>
  </si>
  <si>
    <t>Cash DIV @ 0.253326, Pos QTY: 31.440593337, Rec Date: 2024-11-01</t>
  </si>
  <si>
    <t>Cash DIV @ 0.3444, Pos QTY: 29, Rec Date: 2024-11-01</t>
  </si>
  <si>
    <t>11/08/2024</t>
  </si>
  <si>
    <t>DIV tax withholding on $7.52 at 15% for tax country THA; w8w9: w8</t>
  </si>
  <si>
    <t>DIV tax withholding on $21.27 at 15% for tax country THA; w8w9: w8</t>
  </si>
  <si>
    <t>Cash DIV @ 0.8356, Pos QTY: 9, Rec Date: 2024-11-07</t>
  </si>
  <si>
    <t>Cash DIV @ 1.0228, Pos QTY: 20.796697196, Rec Date: 2024-11-07</t>
  </si>
  <si>
    <t>11/15/2024</t>
  </si>
  <si>
    <t>Cash DIV @ 0.2635, Pos QTY: 2.743781906, Rec Date: 2024-11-01</t>
  </si>
  <si>
    <t>DIV tax withholding on $93.63 at 15% for tax country THA; w8w9: w8</t>
  </si>
  <si>
    <t>Cash DIV @ 2.0231, Pos QTY: 46.279968186, Rec Date: 2024-11-14</t>
  </si>
  <si>
    <t>11/22/2024</t>
  </si>
  <si>
    <t>DIV tax withholding on $7.29 at 15% for tax country THA; w8w9: w8</t>
  </si>
  <si>
    <t>DIV tax withholding on $97.27 at 15% for tax country THA; w8w9: w8</t>
  </si>
  <si>
    <t>DIV tax withholding on $3.7 at 15% for tax country THA; w8w9: w8</t>
  </si>
  <si>
    <t>Cash DIV @ 0.13123, Pos QTY: 55.547689479, Rec Date: 2024-11-18</t>
  </si>
  <si>
    <t>Cash DIV @ 4.4213, Pos QTY: 22, Rec Date: 2024-11-21</t>
  </si>
  <si>
    <t>Cash DIV @ 0.12036, Pos QTY: 30.716983096, Rec Date: 2024-11-18</t>
  </si>
  <si>
    <t>DIV tax withholding on $3.16 at 15% for tax country THA; w8w9: w8</t>
  </si>
  <si>
    <t>Cash DIV @ 0.1804, Pos QTY: 17.541234321, Rec Date: 2024-11-18</t>
  </si>
  <si>
    <t>Cash DIV @ 0.1658, Pos QTY: 14.175986007, Rec Date: 2024-11-18</t>
  </si>
  <si>
    <t>Cash DIV @ 0.35, Pos QTY: 5.573140699, Rec Date: 2024-10-31</t>
  </si>
  <si>
    <t>11/29/2024</t>
  </si>
  <si>
    <t>Cash DIV @ 0.1167, Pos QTY: 39, Rec Date: 2024-11-21</t>
  </si>
  <si>
    <t>DIV tax withholding on $2.4 at 15% for tax country THA; w8w9: w8</t>
  </si>
  <si>
    <t>DIV tax withholding on $51.54 at 15% for tax country THA; w8w9: w8</t>
  </si>
  <si>
    <t>DIV tax withholding on $7.63 at 15% for tax country THA; w8w9: w8</t>
  </si>
  <si>
    <t>Cash DIV @ 0.2, Pos QTY: 12, Rec Date: 2024-11-27</t>
  </si>
  <si>
    <t>Cash DIV @ 0.555022, Pos QTY: 92.870068958, Rec Date: 2024-11-27</t>
  </si>
  <si>
    <t>Cash DIV @ 0.27, Pos QTY: 28.277319647, Rec Date: 2024-11-25</t>
  </si>
  <si>
    <t>Credit/Margin Interest</t>
  </si>
  <si>
    <t>Qualified interest income reallocation for 2024</t>
  </si>
  <si>
    <t>DIV tax withholding on $0.76 at 15% for tax country THA; w8w9: w8</t>
  </si>
  <si>
    <t>DIV tax withholding on $0.17 at 15% for tax country THA; w8w9: w8</t>
  </si>
  <si>
    <t>DIV tax withholding on $5.07 at 15% for tax country THA; w8w9: w8</t>
  </si>
  <si>
    <t>DIV tax withholding on $7.37 at 15% for tax country THA; w8w9: w8</t>
  </si>
  <si>
    <t>DIV tax withholding on $2.94 at 15% for tax country THA; w8w9: w8</t>
  </si>
  <si>
    <t>DIV tax withholding on $4.06 at 15% for tax country THA; w8w9: w8</t>
  </si>
  <si>
    <t>DIV tax withholding on $8.83 at 15% for tax country THA; w8w9: w8</t>
  </si>
  <si>
    <t>DIV tax withholding on $9.74 at 15% for tax country THA; w8w9: w8</t>
  </si>
  <si>
    <t>DIV tax withholding on $4.78 at 15% for tax country THA; w8w9: w8</t>
  </si>
  <si>
    <t>DIV tax withholding on $11.93 at 15% for tax country THA; w8w9: w8</t>
  </si>
  <si>
    <t>DIV tax withholding on $8.36 at 15% for tax country THA; w8w9: w8</t>
  </si>
  <si>
    <t>DIV tax withholding on $11.86 at 15% for tax country THA; w8w9: w8</t>
  </si>
  <si>
    <t>DIV tax withholding on $8.9 at 15% for tax country THA; w8w9: w8</t>
  </si>
  <si>
    <t>DIV tax withholding on $12.21 at 15% for tax country THA; w8w9: w8</t>
  </si>
  <si>
    <t>DIV tax withholding on $4.75 at 15% for tax country THA; w8w9: w8</t>
  </si>
  <si>
    <t>DIV tax withholding on $11.11 at 15% for tax country THA; w8w9: w8</t>
  </si>
  <si>
    <t>Cash DIV @ 0.3056, Pos QTY: 15.527576432, Rec Date: 2024-11-29</t>
  </si>
  <si>
    <t>Cash DIV @ 0.2848, Pos QTY: 39, Rec Date: 2024-11-29</t>
  </si>
  <si>
    <t>12/05/2024</t>
  </si>
  <si>
    <t>Cash DIV @ 0.1119, Pos QTY: 87.515653502, Rec Date: 2024-12-02</t>
  </si>
  <si>
    <t>DIV tax withholding on $1.8 at 15% for tax country THA; w8w9: w8</t>
  </si>
  <si>
    <t>DIV tax withholding on $20.71 at 15% for tax country THA; w8w9: w8</t>
  </si>
  <si>
    <t>DIV tax withholding on $14.12 at 15% for tax country THA; w8w9: w8</t>
  </si>
  <si>
    <t>DIV tax withholding on $9.79 at 15% for tax country THA; w8w9: w8</t>
  </si>
  <si>
    <t>Cash DIV @ 0.155215, Pos QTY: 11.594437805, Rec Date: 2024-12-02</t>
  </si>
  <si>
    <t>Cash DIV @ 0.416001, Pos QTY: 49.774997337, Rec Date: 2024-12-02</t>
  </si>
  <si>
    <t>Cash DIV @ 0.377669, Pos QTY: 37.400102425, Rec Date: 2024-12-02</t>
  </si>
  <si>
    <t>12/06/2024</t>
  </si>
  <si>
    <t>DIV tax withholding on $4.5 at 15% for tax country THA; w8w9: w8</t>
  </si>
  <si>
    <t>Cash DIV @ 0.2377, Pos QTY: 15.527576432, Rec Date: 2024-12-05</t>
  </si>
  <si>
    <t>Cash DIV @ 1.1851, Pos QTY: 23.653849014, Rec Date: 2024-12-05</t>
  </si>
  <si>
    <t>Cash DIV @ 0.30285, Pos QTY: 31, Rec Date: 2024-12-02</t>
  </si>
  <si>
    <t>Cash DIV @ 0.280985, Pos QTY: 34.336597283, Rec Date: 2024-12-02</t>
  </si>
  <si>
    <t>Cash DIV @ 0.375, Pos QTY: 12, Rec Date: 2024-12-05</t>
  </si>
  <si>
    <t>DIV tax withholding on $9.39 at 15% for tax country THA; w8w9: w8</t>
  </si>
  <si>
    <t>DIV tax withholding on $28.03 at 15% for tax country THA; w8w9: w8</t>
  </si>
  <si>
    <t>DIV tax withholding on $9.65 at 15% for tax country THA; w8w9: w8</t>
  </si>
  <si>
    <t>12/13/2024</t>
  </si>
  <si>
    <t>Cash DIV @ 1.3391, Pos QTY: 50.564514244, Rec Date: 2024-12-12</t>
  </si>
  <si>
    <t>DIV tax withholding on $67.71 at 15% for tax country THA; w8w9: w8</t>
  </si>
  <si>
    <t>DIV tax withholding on $1.9 at 15% for tax country THA; w8w9: w8</t>
  </si>
  <si>
    <t>Cash DIV @ 0.2635, Pos QTY: 2.743781906, Rec Date: 2024-12-02</t>
  </si>
  <si>
    <t>Cash DIV @ 0.1226, Pos QTY: 15.527576432, Rec Date: 2024-12-12</t>
  </si>
  <si>
    <t>12/18/2024</t>
  </si>
  <si>
    <t>Cash DIV @ 0.388852, Pos QTY: 15, Rec Date: 2024-12-17</t>
  </si>
  <si>
    <t>DIV tax withholding on $5.83 at 15% for tax country THA; w8w9: w8</t>
  </si>
  <si>
    <t>DIV tax withholding on $80.59 at 15% for tax country THA; w8w9: w8</t>
  </si>
  <si>
    <t>DIV tax withholding on $2.16 at 15% for tax country THA; w8w9: w8</t>
  </si>
  <si>
    <t>Cash DIV @ 0.891074, Pos QTY: 1.802738992, Rec Date: 2024-12-17</t>
  </si>
  <si>
    <t>Cash DIV @ 3.0821, Pos QTY: 26.148483302, Rec Date: 2024-12-19</t>
  </si>
  <si>
    <t>Cash DIV @ 0.24, Pos QTY: 1.031163562, Rec Date: 2024-12-06</t>
  </si>
  <si>
    <t>Cash DIV @ 0.139, Pos QTY: 15.527576432, Rec Date: 2024-12-19</t>
  </si>
  <si>
    <t>DIV tax withholding on $1.61 at 15% for tax country THA; w8w9: w8</t>
  </si>
  <si>
    <t>DIV tax withholding on $0.65 at 15% for tax country THA; w8w9: w8</t>
  </si>
  <si>
    <t>DIV tax withholding on $14.18 at 15% for tax country THA; w8w9: w8</t>
  </si>
  <si>
    <t>DIV tax withholding on $21.8 at 15% for tax country THA; w8w9: w8</t>
  </si>
  <si>
    <t>Cash DIV @ 0.226923, Pos QTY: 2.845943347, Rec Date: 2024-12-18</t>
  </si>
  <si>
    <t>Cash DIV @ 0.371954, Pos QTY: 38.127715852, Rec Date: 2024-12-18</t>
  </si>
  <si>
    <t>Cash DIV @ 0.426779, Pos QTY: 51.091886209, Rec Date: 2024-12-18</t>
  </si>
  <si>
    <t>12/24/2024</t>
  </si>
  <si>
    <t>DIV tax withholding on $2.31 at 15% for tax country THA; w8w9: w8</t>
  </si>
  <si>
    <t>Cash DIV @ 0.159594, Pos QTY: 14.452644623, Rec Date: 2024-12-19</t>
  </si>
  <si>
    <t>12/27/2024</t>
  </si>
  <si>
    <t>DIV tax withholding on $6.51 at 15% for tax country THA; w8w9: w8</t>
  </si>
  <si>
    <t>Cash DIV @ 0.01308, Pos QTY: 58.390144733, Rec Date: 2024-12-23</t>
  </si>
  <si>
    <t>Cash DIV @ 0.11141, Pos QTY: 58.390144733, Rec Date: 2024-12-23</t>
  </si>
  <si>
    <t>DIV tax withholding on $0.63 at 15% for tax country THA; w8w9: w8</t>
  </si>
  <si>
    <t>DIV tax withholding on $4.45 at 15% for tax country THA; w8w9: w8</t>
  </si>
  <si>
    <t>Cash DIV @ 0.17064, Pos QTY: 3.701887278, Rec Date: 2024-12-23</t>
  </si>
  <si>
    <t>Cash DIV @ 0.13249, Pos QTY: 33.618499212, Rec Date: 2024-12-23</t>
  </si>
  <si>
    <t>12/30/2024</t>
  </si>
  <si>
    <t>Cash DIV @ 0.006483, Pos QTY: 35.773845843, Rec Date: 2024-12-23</t>
  </si>
  <si>
    <t>DIV tax withholding on $9.14 at 15% for tax country THA; w8w9: w8</t>
  </si>
  <si>
    <t>Cash DIV @ 0.255374, Pos QTY: 35.773845843, Rec Date: 2024-12-23</t>
  </si>
  <si>
    <t>DIV tax withholding on $9.89 at 15% for tax country THA; w8w9: w8</t>
  </si>
  <si>
    <t>Cash DIV @ 0.6332, Pos QTY: 44, Rec Date: 2024-12-27</t>
  </si>
  <si>
    <t>Cash DIV @ 0.113, Pos QTY: 87.515653502, Rec Date: 2024-12-27</t>
  </si>
  <si>
    <t>DIV tax withholding on $3.8 at 15% for tax country THA; w8w9: w8</t>
  </si>
  <si>
    <t>DIV tax withholding on $27.86 at 15% for tax country THA; w8w9: w8</t>
  </si>
  <si>
    <t>Cash DIV @ 0.2448, Pos QTY: 15.527576432, Rec Date: 2024-12-27</t>
  </si>
  <si>
    <t>DIV tax withholding on $8.22 at 15% for tax country THA; w8w9: w8</t>
  </si>
  <si>
    <t>Cash DIV @ 0.26, Pos QTY: 31.623508811, Rec Date: 2024-12-23</t>
  </si>
  <si>
    <t>DIV tax withholding on $20.73 at 15% for tax country THA; w8w9: w8</t>
  </si>
  <si>
    <t>Cash DIV @ 0.223215, Pos QTY: 92.870068958, Rec Date: 2024-12-30</t>
  </si>
  <si>
    <t>01/03/2025</t>
  </si>
  <si>
    <t>DIV tax withholding on $1.47 at 15% for tax country THA; w8w9: w8</t>
  </si>
  <si>
    <t>Cash DIV @ 0.04601, Pos QTY: 32, Rec Date: 2024-12-27</t>
  </si>
  <si>
    <t>DIV tax withholding on $16.19 at 15% for tax country THA; w8w9: w8</t>
  </si>
  <si>
    <t>Cash DIV @ 0.50599, Pos QTY: 32, Rec Date: 2024-12-27</t>
  </si>
  <si>
    <t>01/06/2025</t>
  </si>
  <si>
    <t>DIV tax withholding on $5.33 at 15% for tax country THA; w8w9: w8</t>
  </si>
  <si>
    <t>DIV tax withholding on $28.37 at 15% for tax country THA; w8w9: w8</t>
  </si>
  <si>
    <t>DIV tax withholding on $3.76 at 15% for tax country THA; w8w9: w8</t>
  </si>
  <si>
    <t>Cash DIV @ 0.4443, Pos QTY: 12, Rec Date: 2025-01-03</t>
  </si>
  <si>
    <t>Cash DIV @ 0.8983, Pos QTY: 31.578227071, Rec Date: 2025-01-03</t>
  </si>
  <si>
    <t>Cash DIV @ 0.1807, Pos QTY: 20.8353219, Rec Date: 2025-01-03</t>
  </si>
  <si>
    <t>01/07/2025</t>
  </si>
  <si>
    <t>DIV tax withholding on $5.94 at 15% for tax country THA; w8w9: w8</t>
  </si>
  <si>
    <t>DIV tax withholding on $2.36 at 15% for tax country THA; w8w9: w8</t>
  </si>
  <si>
    <t>DIV tax withholding on $0.59 at 15% for tax country THA; w8w9: w8</t>
  </si>
  <si>
    <t>Cash DIV @ 0.33863, Pos QTY: 17.541234321, Rec Date: 2024-12-30</t>
  </si>
  <si>
    <t>Cash DIV @ 0.1664, Pos QTY: 14.175986007, Rec Date: 2024-12-30</t>
  </si>
  <si>
    <t>Cash DIV @ 0.148499, Pos QTY: 4, Rec Date: 2024-12-30</t>
  </si>
  <si>
    <t>01/10/2025</t>
  </si>
  <si>
    <t>DIV tax withholding on $6.42 at 15% for tax country THA; w8w9: w8</t>
  </si>
  <si>
    <t>DIV tax withholding on $2.91 at 15% for tax country THA; w8w9: w8</t>
  </si>
  <si>
    <t>DIV tax withholding on $52.79 at 15% for tax country THA; w8w9: w8</t>
  </si>
  <si>
    <t>Cash DIV @ 0.8339, Pos QTY: 63.300092909, Rec Date: 2025-01-08</t>
  </si>
  <si>
    <t>Cash DIV @ 0.1167, Pos QTY: 55, Rec Date: 2024-12-30</t>
  </si>
  <si>
    <t>Cash DIV @ 0.1395, Pos QTY: 20.8353219, Rec Date: 2025-01-08</t>
  </si>
  <si>
    <t>01/15/2025</t>
  </si>
  <si>
    <t>Cash DIV @ 0.264, Pos QTY: 2.743781906, Rec Date: 2025-01-02</t>
  </si>
  <si>
    <t>DIV tax withholding on $73.23 at 15% for tax country THA; w8w9: w8</t>
  </si>
  <si>
    <t>DIV tax withholding on $2.33 at 15% for tax country THA; w8w9: w8</t>
  </si>
  <si>
    <t>Cash DIV @ 2.2792, Pos QTY: 32.131129012, Rec Date: 2025-01-16</t>
  </si>
  <si>
    <t>Cash DIV @ 0.1118, Pos QTY: 20.8353219, Rec Date: 2025-01-16</t>
  </si>
  <si>
    <t>DIV tax withholding on $7.67 at 15% for tax country THA; w8w9: w8</t>
  </si>
  <si>
    <t>DIV tax withholding on $18.61 at 15% for tax country THA; w8w9: w8</t>
  </si>
  <si>
    <t>DIV tax withholding on $4.67 at 15% for tax country THA; w8w9: w8</t>
  </si>
  <si>
    <t>DIV tax withholding on $3.58 at 15% for tax country THA; w8w9: w8</t>
  </si>
  <si>
    <t>Cash DIV @ 0.3324, Pos QTY: 56, Rec Date: 2025-01-23</t>
  </si>
  <si>
    <t>Cash DIV @ 0.11692, Pos QTY: 65.564442185, Rec Date: 2025-01-21</t>
  </si>
  <si>
    <t>Cash DIV @ 0.11411, Pos QTY: 40.943942621, Rec Date: 2025-01-21</t>
  </si>
  <si>
    <t>Cash DIV @ 0.172, Pos QTY: 20.8353219, Rec Date: 2025-01-23</t>
  </si>
  <si>
    <t>DIV tax withholding on $7.06 at 15% for tax country THA; w8w9: w8</t>
  </si>
  <si>
    <t>DIV tax withholding on $3.31 at 15% for tax country THA; w8w9: w8</t>
  </si>
  <si>
    <t>Cash DIV @ 0.1877, Pos QTY: 37.601732541, Rec Date: 2025-01-21</t>
  </si>
  <si>
    <t>Cash DIV @ 0.1682, Pos QTY: 19.670330244, Rec Date: 2025-01-21</t>
  </si>
  <si>
    <t>DIV tax withholding on $28.96 at 15% for tax country THA; w8w9: w8</t>
  </si>
  <si>
    <t>Cash DIV @ 0.8294, Pos QTY: 34.912265459, Rec Date: 2025-01-30</t>
  </si>
  <si>
    <t>DIV tax withholding on $3.06 at 15% for tax country THA; w8w9: w8</t>
  </si>
  <si>
    <t>Cash DIV @ 0.1469, Pos QTY: 20.8353219, Rec Date: 2025-01-30</t>
  </si>
  <si>
    <t>DIV tax withholding on $10.91 at 15% for tax country THA; w8w9: w8</t>
  </si>
  <si>
    <t>Cash DIV @ 0.27, Pos QTY: 40.4046316, Rec Date: 2025-01-28</t>
  </si>
  <si>
    <t>DIV tax withholding on $20.62 at 15% for tax country THA; w8w9: w8</t>
  </si>
  <si>
    <t>Cash DIV @ 0.666047, Pos QTY: 30.956689653, Rec Date: 2025-01-30</t>
  </si>
  <si>
    <t>Cash DIV @ 0.639, Pos QTY: 12, Rec Date: 2025-01-30</t>
  </si>
  <si>
    <t>Cash DIV @ 0.16875, Pos QTY: 22, Rec Date: 2025-01-30</t>
  </si>
  <si>
    <t>DIV tax withholding on $3.71 at 15% for tax country THA; w8w9: w8</t>
  </si>
  <si>
    <t>Cash DIV @ 0.1167, Pos QTY: 55, Rec Date: 2025-01-24</t>
  </si>
  <si>
    <t>02/05/2025</t>
  </si>
  <si>
    <t>DIV tax withholding on $10.29 at 15% for tax country THA; w8w9: w8</t>
  </si>
  <si>
    <t>Cash DIV @ 0.1029, Pos QTY: 3.042318411, Rec Date: 2025-02-03</t>
  </si>
  <si>
    <t>Cash DIV @ 0.29403, Pos QTY: 35, Rec Date: 2025-02-03</t>
  </si>
  <si>
    <t>02/06/2025</t>
  </si>
  <si>
    <t>DIV tax withholding on $14.51 at 15% for tax country THA; w8w9: w8</t>
  </si>
  <si>
    <t>DIV tax withholding on $1.3 at 15% for tax country THA; w8w9: w8</t>
  </si>
  <si>
    <t>DIV tax withholding on $10.17 at 15% for tax country THA; w8w9: w8</t>
  </si>
  <si>
    <t>Cash DIV @ 0.403309, Pos QTY: 52.744726901, Rec Date: 2025-02-03</t>
  </si>
  <si>
    <t>Cash DIV @ 0.363396, Pos QTY: 39.941587161, Rec Date: 2025-02-03</t>
  </si>
  <si>
    <t>Cash DIV @ 0.151991, Pos QTY: 21.746560953, Rec Date: 2025-02-03</t>
  </si>
  <si>
    <t>Cash DIV @ 0.202083, Pos QTY: 6.42603965, Rec Date: 2025-02-03</t>
  </si>
  <si>
    <t>Cash DIV @ 0.1074, Pos QTY: 94.70623728, Rec Date: 2025-02-03</t>
  </si>
  <si>
    <t>02/07/2025</t>
  </si>
  <si>
    <t>DIV tax withholding on $72.41 at 15% for tax country THA; w8w9: w8</t>
  </si>
  <si>
    <t>DIV tax withholding on $8.11 at 15% for tax country THA; w8w9: w8</t>
  </si>
  <si>
    <t>DIV tax withholding on $4.05 at 15% for tax country THA; w8w9: w8</t>
  </si>
  <si>
    <t>Cash DIV @ 1.0468, Pos QTY: 69.169167843, Rec Date: 2025-02-06</t>
  </si>
  <si>
    <t>Cash DIV @ 0.205884, Pos QTY: 39.376882719, Rec Date: 2025-02-03</t>
  </si>
  <si>
    <t>Cash DIV @ 0.1944, Pos QTY: 20.8353219, Rec Date: 2025-02-06</t>
  </si>
  <si>
    <t>02/13/2025</t>
  </si>
  <si>
    <t>DIV tax withholding on $3 at 15% for tax country THA; w8w9: w8</t>
  </si>
  <si>
    <t>Cash DIV @ 0.25, Pos QTY: 12, Rec Date: 2025-02-12</t>
  </si>
  <si>
    <t>02/14/2025</t>
  </si>
  <si>
    <t>DIV tax withholding on $64.96 at 15% for tax country THA; w8w9: w8</t>
  </si>
  <si>
    <t>Cash DIV @ 2.0216, Pos QTY: 32.131129012, Rec Date: 2025-02-13</t>
  </si>
  <si>
    <t>Cash DIV @ 0.264, Pos QTY: 2.743781906, Rec Date: 2025-02-03</t>
  </si>
  <si>
    <t>DIV tax withholding on $3.13 at 15% for tax country THA; w8w9: w8</t>
  </si>
  <si>
    <t>Cash DIV @ 0.1503, Pos QTY: 20.8353219, Rec Date: 2025-02-13</t>
  </si>
  <si>
    <t>02/21/2025</t>
  </si>
  <si>
    <t>DIV tax withholding on $24.04 at 15% for tax country THA; w8w9: w8</t>
  </si>
  <si>
    <t>DIV tax withholding on $5 at 15% for tax country THA; w8w9: w8</t>
  </si>
  <si>
    <t>Cash DIV @ 0.3877, Pos QTY: 62, Rec Date: 2025-02-20</t>
  </si>
  <si>
    <t>Cash DIV @ 0.1852, Pos QTY: 26.982746411, Rec Date: 2025-02-20</t>
  </si>
  <si>
    <t>02/27/2025</t>
  </si>
  <si>
    <t>Cash DIV @ 0.35, Pos QTY: 5.573140699, Rec Date: 2025-01-27</t>
  </si>
  <si>
    <t>02/28/2025</t>
  </si>
  <si>
    <t>DIV tax withholding on $56.27 at 15% for tax country THA; w8w9: w8</t>
  </si>
  <si>
    <t>Cash DIV @ 1.6118, Pos QTY: 34.912265459, Rec Date: 2025-02-27</t>
  </si>
  <si>
    <t>Cash DIV @ 0.1167, Pos QTY: 55, Rec Date: 2025-02-21</t>
  </si>
  <si>
    <t>DIV tax withholding on $5.72 at 15% for tax country THA; w8w9: w8</t>
  </si>
  <si>
    <t>DIV tax withholding on $1.14 at 15% for tax country THA; w8w9: w8</t>
  </si>
  <si>
    <t>DIV tax withholding on $8.51 at 15% for tax country THA; w8w9: w8</t>
  </si>
  <si>
    <t>DIV tax withholding on $4.25 at 15% for tax country THA; w8w9: w8</t>
  </si>
  <si>
    <t>DIV tax withholding on $23.57 at 15% for tax country THA; w8w9: w8</t>
  </si>
  <si>
    <t>DIV tax withholding on $15.7 at 15% for tax country THA; w8w9: w8</t>
  </si>
  <si>
    <t>DIV tax withholding on $4.57 at 15% for tax country THA; w8w9: w8</t>
  </si>
  <si>
    <t>Cash DIV @ 0.4767, Pos QTY: 12, Rec Date: 2025-02-27</t>
  </si>
  <si>
    <t>Cash DIV @ 0.3006541, Pos QTY: 3.775567866, Rec Date: 2025-02-26</t>
  </si>
  <si>
    <t>Cash DIV @ 0.11928, Pos QTY: 71.336386401, Rec Date: 2025-02-24</t>
  </si>
  <si>
    <t>Cash DIV @ 0.17, Pos QTY: 25, Rec Date: 2025-02-27</t>
  </si>
  <si>
    <t>Cash DIV @ 0.670941, Pos QTY: 35.125493709, Rec Date: 2025-02-27</t>
  </si>
  <si>
    <t>Cash DIV @ 0.27, Pos QTY: 58.138237982, Rec Date: 2025-02-25</t>
  </si>
  <si>
    <t>Cash DIV @ 0.10413, Pos QTY: 43.888929665, Rec Date: 2025-02-24</t>
  </si>
  <si>
    <t>Cash DIV @ 0.1327, Pos QTY: 26.982746411, Rec Date: 2025-02-27</t>
  </si>
  <si>
    <t>DIV tax withholding on $6.2 at 15% for tax country THA; w8w9: w8</t>
  </si>
  <si>
    <t>DIV tax withholding on $3.2 at 15% for tax country THA; w8w9: w8</t>
  </si>
  <si>
    <t>Cash DIV @ 0.165, Pos QTY: 37.601732541, Rec Date: 2025-02-24</t>
  </si>
  <si>
    <t>Cash DIV @ 0.1627, Pos QTY: 19.670330244, Rec Date: 2025-02-24</t>
  </si>
  <si>
    <t>03/05/2025</t>
  </si>
  <si>
    <t>DIV tax withholding on $10.1 at 15% for tax country THA; w8w9: w8</t>
  </si>
  <si>
    <t>Cash DIV @ 0.25891, Pos QTY: 39, Rec Date: 2025-03-03</t>
  </si>
  <si>
    <t>DIV tax withholding on $1.23 at 15% for tax country THA; w8w9: w8</t>
  </si>
  <si>
    <t>DIV tax withholding on $10.13 at 15% for tax country THA; w8w9: w8</t>
  </si>
  <si>
    <t>DIV tax withholding on $19.83 at 15% for tax country THA; w8w9: w8</t>
  </si>
  <si>
    <t>DIV tax withholding on $13.43 at 15% for tax country THA; w8w9: w8</t>
  </si>
  <si>
    <t>DIV tax withholding on $4.19 at 15% for tax country THA; w8w9: w8</t>
  </si>
  <si>
    <t>Cash DIV @ 0.191235, Pos QTY: 6.42603965, Rec Date: 2025-03-03</t>
  </si>
  <si>
    <t>Cash DIV @ 0.0953, Pos QTY: 106.258318444, Rec Date: 2025-03-03</t>
  </si>
  <si>
    <t>Cash DIV @ 0.357854, Pos QTY: 55.41461292, Rec Date: 2025-03-03</t>
  </si>
  <si>
    <t>Cash DIV @ 0.313292, Pos QTY: 42.871696204, Rec Date: 2025-03-03</t>
  </si>
  <si>
    <t>Cash DIV @ 0.15205, Pos QTY: 27.527927901, Rec Date: 2025-03-03</t>
  </si>
  <si>
    <t>DIV tax withholding on $47.61 at 15% for tax country THA; w8w9: w8</t>
  </si>
  <si>
    <t>DIV tax withholding on $9.88 at 15% for tax country THA; w8w9: w8</t>
  </si>
  <si>
    <t>DIV tax withholding on $6.49 at 15% for tax country THA; w8w9: w8</t>
  </si>
  <si>
    <t>Cash DIV @ 0.5989, Pos QTY: 79.497853459, Rec Date: 2025-03-06</t>
  </si>
  <si>
    <t>Cash DIV @ 0.218809, Pos QTY: 45.150811978, Rec Date: 2025-03-03</t>
  </si>
  <si>
    <t>Cash DIV @ 0.2405, Pos QTY: 26.982746411, Rec Date: 2025-03-06</t>
  </si>
  <si>
    <t>03/13/2025</t>
  </si>
  <si>
    <t>Cash DIV @ 0.25, Pos QTY: 18, Rec Date: 2025-03-12</t>
  </si>
  <si>
    <t>03/14/2025</t>
  </si>
  <si>
    <t>DIV tax withholding on $48.84 at 15% for tax country THA; w8w9: w8</t>
  </si>
  <si>
    <t>Cash DIV @ 1.3775, Pos QTY: 35.452459736, Rec Date: 2025-03-13</t>
  </si>
  <si>
    <t>DIV tax withholding on $0.74 at 15% for tax country THA; w8w9: w8</t>
  </si>
  <si>
    <t>DIV tax withholding on $2.7 at 15% for tax country THA; w8w9: w8</t>
  </si>
  <si>
    <t>Cash DIV @ 0.268, Pos QTY: 2.743781906, Rec Date: 2025-03-03</t>
  </si>
  <si>
    <t>Cash DIV @ 0.1002, Pos QTY: 26.982746411, Rec Date: 2025-03-13</t>
  </si>
  <si>
    <t>03/21/2025</t>
  </si>
  <si>
    <t>DIV tax withholding on $20.36 at 15% for tax country THA; w8w9: w8</t>
  </si>
  <si>
    <t>DIV tax withholding on $4.92 at 15% for tax country THA; w8w9: w8</t>
  </si>
  <si>
    <t>Cash DIV @ 0.3284, Pos QTY: 62, Rec Date: 2025-03-20</t>
  </si>
  <si>
    <t>Cash DIV @ 0.1526, Pos QTY: 32.238393264, Rec Date: 2025-03-20</t>
  </si>
  <si>
    <t>03/28/2025</t>
  </si>
  <si>
    <t>Cash DIV @ 0.5506, Pos QTY: 12, Rec Date: 2025-03-27</t>
  </si>
  <si>
    <t>DIV tax withholding on $6.61 at 15% for tax country THA; w8w9: w8</t>
  </si>
  <si>
    <t>Cash DIV @ 0.10957, Pos QTY: 71.336386401, Rec Date: 2025-03-24</t>
  </si>
  <si>
    <t>DIV tax withholding on $0.71 at 15% for tax country THA; w8w9: w8</t>
  </si>
  <si>
    <t>Cash DIV @ 0.24, Pos QTY: 2.938912839, Rec Date: 2025-03-14</t>
  </si>
  <si>
    <t>DIV tax withholding on $27.49 at 15% for tax country THA; w8w9: w8</t>
  </si>
  <si>
    <t>Cash DIV @ 0.7874, Pos QTY: 34.912265459, Rec Date: 2025-03-27</t>
  </si>
  <si>
    <t>DIV tax withholding on $0.82 at 15% for tax country THA; w8w9: w8</t>
  </si>
  <si>
    <t>Cash DIV @ 0.22258, Pos QTY: 3.701887278, Rec Date: 2025-03-24</t>
  </si>
  <si>
    <t>DIV tax withholding on $4.33 at 15% for tax country THA; w8w9: w8</t>
  </si>
  <si>
    <t>Cash DIV @ 0.0986, Pos QTY: 43.888929665, Rec Date: 2025-03-24</t>
  </si>
  <si>
    <t>DIV tax withholding on $4.24 at 15% for tax country THA; w8w9: w8</t>
  </si>
  <si>
    <t>Cash DIV @ 0.1315, Pos QTY: 32.238393264, Rec Date: 2025-03-27</t>
  </si>
  <si>
    <t>03/31/2025</t>
  </si>
  <si>
    <t>Cash DIV @ 0.2607127, Pos QTY: 7.775567866, Rec Date: 2025-03-27</t>
  </si>
  <si>
    <t>DIV tax withholding on $2.03 at 15% for tax country THA; w8w9: w8</t>
  </si>
  <si>
    <t>Cash DIV @ 0.161905, Pos QTY: 25, Rec Date: 2025-03-28</t>
  </si>
  <si>
    <t>Cash DIV @ 0.682938, Pos QTY: 35.125493709, Rec Date: 2025-03-28</t>
  </si>
  <si>
    <t>DIV tax withholding on $23.99 at 15% for tax country THA; w8w9: w8</t>
  </si>
  <si>
    <t>Cash DIV @ 0.1703, Pos QTY: 37.601732541, Rec Date: 2025-03-24</t>
  </si>
  <si>
    <t>DIV tax withholding on $6.4 at 15% for tax country THA; w8w9: w8</t>
  </si>
  <si>
    <t>Cash DIV @ 0.1537, Pos QTY: 19.670330244, Rec Date: 2025-03-24</t>
  </si>
  <si>
    <t>Cash DIV @ 0.27, Pos QTY: 58.138237982, Rec Date: 2025-03-26</t>
  </si>
  <si>
    <t>Cash DIV @ 0.1167, Pos QTY: 55, Rec Date: 2025-03-25</t>
  </si>
  <si>
    <t>Cash DIV @ 0.51, Pos QTY: 3.147079266, Rec Date: 2025-03-14</t>
  </si>
  <si>
    <t>04/03/2025</t>
  </si>
  <si>
    <t>DIV tax withholding on $13.14 at 15% for tax country THA; w8w9: w8</t>
  </si>
  <si>
    <t>Cash DIV @ 0.31293, Pos QTY: 42, Rec Date: 2025-04-01</t>
  </si>
  <si>
    <t>04/04/2025</t>
  </si>
  <si>
    <t>DIV tax withholding on $41.02 at 15% for tax country THA; w8w9: w8</t>
  </si>
  <si>
    <t>DIV tax withholding on $1.78 at 15% for tax country THA; w8w9: w8</t>
  </si>
  <si>
    <t>DIV tax withholding on $21.46 at 15% for tax country THA; w8w9: w8</t>
  </si>
  <si>
    <t>DIV tax withholding on $4.83 at 15% for tax country THA; w8w9: w8</t>
  </si>
  <si>
    <t>DIV tax withholding on $5.74 at 15% for tax country THA; w8w9: w8</t>
  </si>
  <si>
    <t>DIV tax withholding on $11.55 at 15% for tax country THA; w8w9: w8</t>
  </si>
  <si>
    <t>Cash DIV @ 0.4381, Pos QTY: 93.632599346, Rec Date: 2025-04-03</t>
  </si>
  <si>
    <t>Cash DIV @ 0.210435, Pos QTY: 8.449282124, Rec Date: 2025-04-01</t>
  </si>
  <si>
    <t>Cash DIV @ 0.383602, Pos QTY: 55.949584495, Rec Date: 2025-04-01</t>
  </si>
  <si>
    <t>Cash DIV @ 0.346022, Pos QTY: 43.458694749, Rec Date: 2025-04-01</t>
  </si>
  <si>
    <t>Cash DIV @ 0.158725, Pos QTY: 30.429757066, Rec Date: 2025-04-01</t>
  </si>
  <si>
    <t>Cash DIV @ 0.1781, Pos QTY: 32.238393264, Rec Date: 2025-04-03</t>
  </si>
  <si>
    <t>Cash DIV @ 0.1047, Pos QTY: 110.300704629, Rec Date: 2025-04-01</t>
  </si>
  <si>
    <t>DIV tax withholding on $11.31 at 15% for tax country THA; w8w9: w8</t>
  </si>
  <si>
    <t>Cash DIV @ 0.238291, Pos QTY: 47.473236817, Rec Date: 2025-04-01</t>
  </si>
  <si>
    <t>04/08/2025</t>
  </si>
  <si>
    <t>DIV tax withholding on $1.68 at 15% for tax country THA; w8w9: w8</t>
  </si>
  <si>
    <t>Cash DIV @ 0.2021487, Pos QTY: 8.308409122, Rec Date: 2025-04-02</t>
  </si>
  <si>
    <t>Cash DIV @ 0.81907, Pos QTY: 1.322935665, Rec Date: 2025-03-31</t>
  </si>
  <si>
    <t>04/10/2025</t>
  </si>
  <si>
    <t>DIV tax withholding on $5.25 at 15% for tax country THA; w8w9: w8</t>
  </si>
  <si>
    <t>Cash DIV @ 0.25, Pos QTY: 21, Rec Date: 2025-04-09</t>
  </si>
  <si>
    <t>Cash DIV @ 0.535377, Pos QTY: 1.061371047, Rec Date: 2025-03-18</t>
  </si>
  <si>
    <t>04/11/2025</t>
  </si>
  <si>
    <t>DIV tax withholding on $47.35 at 15% for tax country THA; w8w9: w8</t>
  </si>
  <si>
    <t>DIV tax withholding on $4.16 at 15% for tax country THA; w8w9: w8</t>
  </si>
  <si>
    <t>Cash DIV @ 1.3356, Pos QTY: 35.452459736, Rec Date: 2025-04-10</t>
  </si>
  <si>
    <t>Cash DIV @ 0.1289, Pos QTY: 32.238393264, Rec Date: 2025-04-10</t>
  </si>
  <si>
    <t>04/15/2025</t>
  </si>
  <si>
    <t>Cash DIV @ 0.2685, Pos QTY: 2.743781906, Rec Date: 2025-04-01</t>
  </si>
  <si>
    <t>DIV tax withholding on $23.12 at 15% for tax country THA; w8w9: w8</t>
  </si>
  <si>
    <t>DIV tax withholding on $4.3 at 15% for tax country THA; w8w9: w8</t>
  </si>
  <si>
    <t>Cash DIV @ 0.3729, Pos QTY: 62, Rec Date: 2025-04-17</t>
  </si>
  <si>
    <t>Cash DIV @ 0.1334, Pos QTY: 32.238393264, Rec Date: 2025-04-17</t>
  </si>
  <si>
    <t>04/25/2025</t>
  </si>
  <si>
    <t>DIV tax withholding on $8.07 at 15% for tax country THA; w8w9: w8</t>
  </si>
  <si>
    <t>DIV tax withholding on $23.51 at 15% for tax country THA; w8w9: w8</t>
  </si>
  <si>
    <t>DIV tax withholding on $6.26 at 15% for tax country THA; w8w9: w8</t>
  </si>
  <si>
    <t>DIV tax withholding on $4.07 at 15% for tax country THA; w8w9: w8</t>
  </si>
  <si>
    <t>DIV tax withholding on $4.41 at 15% for tax country THA; w8w9: w8</t>
  </si>
  <si>
    <t>Cash DIV @ 0.18, Pos QTY: 12, Rec Date: 2025-04-24</t>
  </si>
  <si>
    <t>Cash DIV @ 0.5216, Pos QTY: 12, Rec Date: 2025-04-24</t>
  </si>
  <si>
    <t>Cash DIV @ 0.11309, Pos QTY: 71.336386401, Rec Date: 2025-04-21</t>
  </si>
  <si>
    <t>Cash DIV @ 0.6734, Pos QTY: 34.912265459, Rec Date: 2025-04-24</t>
  </si>
  <si>
    <t>Cash DIV @ 0.09284, Pos QTY: 43.888929665, Rec Date: 2025-04-21</t>
  </si>
  <si>
    <t>Cash DIV @ 0.1367, Pos QTY: 32.238393264, Rec Date: 2025-04-24</t>
  </si>
  <si>
    <t>04/28/2025</t>
  </si>
  <si>
    <t>DIV tax withholding on $2.81 at 15% for tax country THA; w8w9: w8</t>
  </si>
  <si>
    <t>Cash DIV @ 0.1431, Pos QTY: 19.670330244, Rec Date: 2025-04-21</t>
  </si>
  <si>
    <t>DIV tax withholding on $6.01 at 15% for tax country THA; w8w9: w8</t>
  </si>
  <si>
    <t>Cash DIV @ 0.1598, Pos QTY: 37.601732541, Rec Date: 2025-04-21</t>
  </si>
  <si>
    <t>DIV tax withholding on $2.09 at 15% for tax country THA; w8w9: w8</t>
  </si>
  <si>
    <t>Cash DIV @ 0.2242735, Pos QTY: 9.324953469, Rec Date: 2025-04-24</t>
  </si>
  <si>
    <t>04/30/2025</t>
  </si>
  <si>
    <t>DIV tax withholding on $4.18 at 15% for tax country THA; w8w9: w8</t>
  </si>
  <si>
    <t>DIV tax withholding on $21.85 at 15% for tax country THA; w8w9: w8</t>
  </si>
  <si>
    <t>Cash DIV @ 0.167, Pos QTY: 25, Rec Date: 2025-04-29</t>
  </si>
  <si>
    <t>Cash DIV @ 0.621977, Pos QTY: 35.125493709, Rec Date: 2025-04-29</t>
  </si>
  <si>
    <t>Cash DIV @ 0.1167, Pos QTY: 55, Rec Date: 2025-04-23</t>
  </si>
  <si>
    <t>DIV tax withholding on $5.62 at 15% for tax country THA; w8w9: w8</t>
  </si>
  <si>
    <t>Cash DIV @ 0.651, Pos QTY: 93.632599346, Rec Date: 2025-05-01</t>
  </si>
  <si>
    <t>DIV tax withholding on $60.95 at 15% for tax country THA; w8w9: w8</t>
  </si>
  <si>
    <t>Cash DIV @ 0.1744, Pos QTY: 32.238393264, Rec Date: 2025-05-01</t>
  </si>
  <si>
    <t>05/05/2025</t>
  </si>
  <si>
    <t>Cash DIV @ 0.30689, Pos QTY: 45, Rec Date: 2025-05-01</t>
  </si>
  <si>
    <t>DIV tax withholding on $13.81 at 15% for tax country THA; w8w9: w8</t>
  </si>
  <si>
    <t>05/06/2025</t>
  </si>
  <si>
    <t>Cash DIV @ 0.334981, Pos QTY: 44.18496732, Rec Date: 2025-05-01</t>
  </si>
  <si>
    <t>Cash DIV @ 0.372016, Pos QTY: 57.275675795, Rec Date: 2025-05-01</t>
  </si>
  <si>
    <t>Cash DIV @ 0.15483, Pos QTY: 33.345340182, Rec Date: 2025-05-01</t>
  </si>
  <si>
    <t>DIV tax withholding on $2.06 at 15% for tax country THA; w8w9: w8</t>
  </si>
  <si>
    <t>DIV tax withholding on $12.58 at 15% for tax country THA; w8w9: w8</t>
  </si>
  <si>
    <t>DIV tax withholding on $14.8 at 15% for tax country THA; w8w9: w8</t>
  </si>
  <si>
    <t>DIV tax withholding on $5.16 at 15% for tax country THA; w8w9: w8</t>
  </si>
  <si>
    <t>Cash DIV @ 0.208038, Pos QTY: 9.88229168, Rec Date: 2025-05-01</t>
  </si>
  <si>
    <t>Cash DIV @ 0.1084, Pos QTY: 116.029029827, Rec Date: 2025-05-01</t>
  </si>
  <si>
    <t>DIV tax withholding on $21.31 at 15% for tax country THA; w8w9: w8</t>
  </si>
  <si>
    <t>05/07/2025</t>
  </si>
  <si>
    <t>Cash DIV @ 0.377436, Pos QTY: 1.507092931, Rec Date: 2025-05-01</t>
  </si>
  <si>
    <t>DIV tax withholding on $12.01 at 15% for tax country THA; w8w9: w8</t>
  </si>
  <si>
    <t>Cash DIV @ 0.245555, Pos QTY: 48.916748146, Rec Date: 2025-05-01</t>
  </si>
  <si>
    <t>05/08/2025</t>
  </si>
  <si>
    <t>DIV tax withholding on $1.51 at 15% for tax country THA; w8w9: w8</t>
  </si>
  <si>
    <t>Cash DIV @ 0.1819199, Pos QTY: 8.308409122, Rec Date: 2025-05-02</t>
  </si>
  <si>
    <t>05/09/2025</t>
  </si>
  <si>
    <t>Cash DIV @ 2.3734, Pos QTY: 35.452459736, Rec Date: 2025-05-08</t>
  </si>
  <si>
    <t>Cash DIV @ 0.1679, Pos QTY: 32.238393264, Rec Date: 2025-05-08</t>
  </si>
  <si>
    <t>DIV tax withholding on $5.41 at 15% for tax country THA; w8w9: w8</t>
  </si>
  <si>
    <t>DIV tax withholding on $84.14 at 15% for tax country THA; w8w9: w8</t>
  </si>
  <si>
    <t>05/15/2025</t>
  </si>
  <si>
    <t>Cash DIV @ 0.2685, Pos QTY: 2.743781906, Rec Date: 2025-05-01</t>
  </si>
  <si>
    <t>Cash DIV @ 0.25, Pos QTY: 29, Rec Date: 2025-05-14</t>
  </si>
  <si>
    <t>DIV tax withholding on $21.38 at 15% for tax country THA; w8w9: w8</t>
  </si>
  <si>
    <t>DIV tax withholding on $6.16 at 15% for tax country THA; w8w9: w8</t>
  </si>
  <si>
    <t>Cash DIV @ 0.3449, Pos QTY: 62, Rec Date: 2025-05-15</t>
  </si>
  <si>
    <t>Cash DIV @ 0.191, Pos QTY: 32.238393264, Rec Date: 2025-05-15</t>
  </si>
  <si>
    <t>05/23/2025</t>
  </si>
  <si>
    <t>Cash DIV @ 1.6276, Pos QTY: 34.912265459, Rec Date: 2025-05-22</t>
  </si>
  <si>
    <t>DIV tax withholding on $7.64 at 15% for tax country THA; w8w9: w8</t>
  </si>
  <si>
    <t>DIV tax withholding on $9.22 at 15% for tax country THA; w8w9: w8</t>
  </si>
  <si>
    <t>DIV tax withholding on $56.82 at 15% for tax country THA; w8w9: w8</t>
  </si>
  <si>
    <t>DIV tax withholding on $56.35 at 15% for tax country THA; w8w9: w8</t>
  </si>
  <si>
    <t>Cash DIV @ 0.6369, Pos QTY: 12, Rec Date: 2025-05-22</t>
  </si>
  <si>
    <t>Cash DIV @ 0.12926, Pos QTY: 71.336386401, Rec Date: 2025-05-19</t>
  </si>
  <si>
    <t>Cash DIV @ 7.0442, Pos QTY: 8, Rec Date: 2025-05-22</t>
  </si>
  <si>
    <t>Cash DIV @ 0.11015, Pos QTY: 43.888929665, Rec Date: 2025-05-19</t>
  </si>
  <si>
    <t>Cash DIV @ 0.186, Pos QTY: 32.238393264, Rec Date: 2025-05-22</t>
  </si>
  <si>
    <t>DIV tax withholding on $1.69 at 15% for tax country THA; w8w9: w8</t>
  </si>
  <si>
    <t>Cash DIV @ 0.1809904, Pos QTY: 9.324953469, Rec Date: 2025-05-22</t>
  </si>
  <si>
    <t>Cash DIV @ 0.165, Pos QTY: 37.601732541, Rec Date: 2025-05-19</t>
  </si>
  <si>
    <t>Cash DIV @ 0.1481, Pos QTY: 19.670330244, Rec Date: 2025-05-19</t>
  </si>
  <si>
    <t>05/28/2025</t>
  </si>
  <si>
    <t>Cash DIV @ 0.27, Pos QTY: 9.586161604, Rec Date: 2025-05-09</t>
  </si>
  <si>
    <t>DIV tax withholding on $2.59 at 15% for tax country THA; w8w9: w8</t>
  </si>
  <si>
    <t>05/29/2025</t>
  </si>
  <si>
    <t>DIV tax withholding on $2.52 at 15% for tax country THA; w8w9: w8</t>
  </si>
  <si>
    <t>Cash DIV @ 0.35, Pos QTY: 5.573140699, Rec Date: 2025-04-28</t>
  </si>
  <si>
    <t>Cash DIV @ 0.18, Pos QTY: 14, Rec Date: 2025-05-28</t>
  </si>
  <si>
    <t>05/30/2025</t>
  </si>
  <si>
    <t>DIV tax withholding on $74.55 at 15% for tax country THA; w8w9: w8</t>
  </si>
  <si>
    <t>DIV tax withholding on $22.34 at 15% for tax country THA; w8w9: w8</t>
  </si>
  <si>
    <t>DIV tax withholding on $2.17 at 15% for tax country THA; w8w9: w8</t>
  </si>
  <si>
    <t>DIV tax withholding on $6.93 at 15% for tax country THA; w8w9: w8</t>
  </si>
  <si>
    <t>Cash DIV @ 0.7351, Pos QTY: 101.414657233, Rec Date: 2025-05-29</t>
  </si>
  <si>
    <t>Cash DIV @ 0.167, Pos QTY: 25, Rec Date: 2025-05-29</t>
  </si>
  <si>
    <t>Cash DIV @ 0.636006, Pos QTY: 35.125493709, Rec Date: 2025-05-29</t>
  </si>
  <si>
    <t>Cash DIV @ 0.155, Pos QTY: 14, Rec Date: 2025-05-13</t>
  </si>
  <si>
    <t>Cash DIV @ 0.2149, Pos QTY: 32.238393264, Rec Date: 2025-05-29</t>
  </si>
  <si>
    <t>06/04/2025</t>
  </si>
  <si>
    <t>DIV tax withholding on $13.8 at 15% for tax country THA; w8w9: w8</t>
  </si>
  <si>
    <t>Cash DIV @ 0.29352, Pos QTY: 47, Rec Date: 2025-06-02</t>
  </si>
  <si>
    <t>06/05/2025</t>
  </si>
  <si>
    <t>DIV tax withholding on $12.78 at 15% for tax country THA; w8w9: w8</t>
  </si>
  <si>
    <t>DIV tax withholding on $22.95 at 15% for tax country THA; w8w9: w8</t>
  </si>
  <si>
    <t>DIV tax withholding on $16.03 at 15% for tax country THA; w8w9: w8</t>
  </si>
  <si>
    <t>DIV tax withholding on $5.86 at 15% for tax country THA; w8w9: w8</t>
  </si>
  <si>
    <t>Cash DIV @ 0.211069, Pos QTY: 9.88229168, Rec Date: 2025-06-02</t>
  </si>
  <si>
    <t>Cash DIV @ 0.108, Pos QTY: 118.355842986, Rec Date: 2025-06-02</t>
  </si>
  <si>
    <t>Cash DIV @ 0.397026, Pos QTY: 57.811513336, Rec Date: 2025-06-02</t>
  </si>
  <si>
    <t>Cash DIV @ 0.357977, Pos QTY: 44.77190738, Rec Date: 2025-06-02</t>
  </si>
  <si>
    <t>Cash DIV @ 0.15536, Pos QTY: 37.732673263, Rec Date: 2025-06-02</t>
  </si>
  <si>
    <t>06/06/2025</t>
  </si>
  <si>
    <t>DIV tax withholding on $11.27 at 15% for tax country THA; w8w9: w8</t>
  </si>
  <si>
    <t>DIV tax withholding on $5.55 at 15% for tax country THA; w8w9: w8</t>
  </si>
  <si>
    <t>DIV tax withholding on $53.95 at 15% for tax country THA; w8w9: w8</t>
  </si>
  <si>
    <t>Cash DIV @ 0.219855, Pos QTY: 51.253885244, Rec Date: 2025-06-02</t>
  </si>
  <si>
    <t>Cash DIV @ 0.298551, Pos QTY: 1.507092931, Rec Date: 2025-06-02</t>
  </si>
  <si>
    <t>Cash DIV @ 0.1721, Pos QTY: 32.238393264, Rec Date: 2025-06-05</t>
  </si>
  <si>
    <t>Cash DIV @ 1.4707, Pos QTY: 36.68372801, Rec Date: 2025-06-05</t>
  </si>
  <si>
    <t>06/09/2025</t>
  </si>
  <si>
    <t>DIV tax withholding on $1.74 at 15% for tax country THA; w8w9: w8</t>
  </si>
  <si>
    <t>Cash DIV @ 0.1642691, Pos QTY: 10.572208304, Rec Date: 2025-06-03</t>
  </si>
  <si>
    <t>Cash DIV @ 0.192, Pos QTY: 3.717674752, Rec Date: 2025-06-04</t>
  </si>
  <si>
    <t>Cash DIV @ 0.25, Pos QTY: 29, Rec Date: 2025-06-11</t>
  </si>
  <si>
    <t>Cash DIV @ 0.2685, Pos QTY: 2.743781906, Rec Date: 2025-06-02</t>
  </si>
  <si>
    <t>DIV tax withholding on $5.81 at 15% for tax country THA; w8w9: w8</t>
  </si>
  <si>
    <t>DIV tax withholding on $24.66 at 15% for tax country THA; w8w9: w8</t>
  </si>
  <si>
    <t>Cash DIV @ 0.1803, Pos QTY: 32.238393264, Rec Date: 2025-06-12</t>
  </si>
  <si>
    <t>Cash DIV @ 0.3978, Pos QTY: 62, Rec Date: 2025-06-12</t>
  </si>
  <si>
    <t>DIV tax withholding on $6.44 at 15% for tax country THA; w8w9: w8</t>
  </si>
  <si>
    <t>DIV tax withholding on $26.08 at 15% for tax country THA; w8w9: w8</t>
  </si>
  <si>
    <t>DIV tax withholding on $26.1 at 15% for tax country THA; w8w9: w8</t>
  </si>
  <si>
    <t>DIV tax withholding on $4.59 at 15% for tax country THA; w8w9: w8</t>
  </si>
  <si>
    <t>Cash DIV @ 0.5363, Pos QTY: 12, Rec Date: 2025-06-20</t>
  </si>
  <si>
    <t>Cash DIV @ 3.26, Pos QTY: 8, Rec Date: 2025-06-20</t>
  </si>
  <si>
    <t>Cash DIV @ 0.6721, Pos QTY: 38.830864025, Rec Date: 2025-06-20</t>
  </si>
  <si>
    <t>Cash DIV @ 0.1424, Pos QTY: 32.238393264, Rec Date: 2025-06-20</t>
  </si>
  <si>
    <t>06/26/2025</t>
  </si>
  <si>
    <t>DIV tax withholding on $2.88 at 15% for tax country THA; w8w9: w8</t>
  </si>
  <si>
    <t>Cash DIV @ 0.18, Pos QTY: 16, Rec Date: 2025-06-25</t>
  </si>
  <si>
    <t>DIV tax withholding on $55.78 at 15% for tax country THA; w8w9: w8</t>
  </si>
  <si>
    <t>Cash DIV @ 0.5354, Pos QTY: 104.17831394, Rec Date: 2025-06-26</t>
  </si>
  <si>
    <t>DIV tax withholding on $9.2 at 15% for tax country THA; w8w9: w8</t>
  </si>
  <si>
    <t>DIV tax withholding on $0.79 at 15% for tax country THA; w8w9: w8</t>
  </si>
  <si>
    <t>DIV tax withholding on $1.03 at 15% for tax country THA; w8w9: w8</t>
  </si>
  <si>
    <t>DIV tax withholding on $4.99 at 15% for tax country THA; w8w9: w8</t>
  </si>
  <si>
    <t>Cash DIV @ 0.121, Pos QTY: 76.036758908, Rec Date: 2025-06-23</t>
  </si>
  <si>
    <t>Cash DIV @ 0.27, Pos QTY: 2.938912839, Rec Date: 2025-06-13</t>
  </si>
  <si>
    <t>Cash DIV @ 0.27932, Pos QTY: 3.701887278, Rec Date: 2025-06-23</t>
  </si>
  <si>
    <t>Cash DIV @ 0.1138, Pos QTY: 51.238931506, Rec Date: 2025-06-23</t>
  </si>
  <si>
    <t>Cash DIV @ 0.1548, Pos QTY: 32.238393264, Rec Date: 2025-06-26</t>
  </si>
  <si>
    <t>DIV tax withholding on $1.75 at 15% for tax country THA; w8w9: w8</t>
  </si>
  <si>
    <t>Cash DIV @ 0.07, Pos QTY: 25, Rec Date: 2025-06-23</t>
  </si>
  <si>
    <t>DIV tax withholding on $3.28 at 15% for tax country THA; w8w9: w8</t>
  </si>
  <si>
    <t>Cash DIV @ 0.3160044, Pos QTY: 10.375071294, Rec Date: 2025-06-26</t>
  </si>
  <si>
    <t>Cash DIV @ 0.643884, Pos QTY: 36.469684125, Rec Date: 2025-06-27</t>
  </si>
  <si>
    <t>DIV tax withholding on $23.48 at 15% for tax country THA; w8w9: w8</t>
  </si>
  <si>
    <t>DIV tax withholding on $6.23 at 15% for tax country THA; w8w9: w8</t>
  </si>
  <si>
    <t>Cash DIV @ 0.1657, Pos QTY: 37.601732541, Rec Date: 2025-06-23</t>
  </si>
  <si>
    <t>Cash DIV @ 0.1485, Pos QTY: 19.670330244, Rec Date: 2025-06-23</t>
  </si>
  <si>
    <t>DIV tax withholding on $2.92 at 15% for tax country THA; w8w9: w8</t>
  </si>
  <si>
    <t>Cash DIV @ 0.2602, Pos QTY: 7.326089659, Rec Date: 2025-06-25</t>
  </si>
  <si>
    <t>DIV tax withholding on $1.91 at 15% for tax country THA; w8w9: w8</t>
  </si>
  <si>
    <t>Cash DIV @ 0.155, Pos QTY: 14, Rec Date: 2025-06-10</t>
  </si>
  <si>
    <t>07/01/2025</t>
  </si>
  <si>
    <t>Cash DIV @ 0.51, Pos QTY: 3.147079266, Rec Date: 2025-06-13</t>
  </si>
  <si>
    <t>DIV tax withholding on $14.66 at 15% for tax country THA; w8w9: w8</t>
  </si>
  <si>
    <t>Cash DIV @ 0.30549, Pos QTY: 48, Rec Date: 2025-07-01</t>
  </si>
  <si>
    <t>07/07/2025</t>
  </si>
  <si>
    <t>DIV tax withholding on $0.14 at 15% for tax country THA; w8w9: w8</t>
  </si>
  <si>
    <t>DIV tax withholding on $2.21 at 15% for tax country THA; w8w9: w8</t>
  </si>
  <si>
    <t>DIV tax withholding on $12.95 at 15% for tax country THA; w8w9: w8</t>
  </si>
  <si>
    <t>DIV tax withholding on $21.56 at 15% for tax country THA; w8w9: w8</t>
  </si>
  <si>
    <t>DIV tax withholding on $5.87 at 15% for tax country THA; w8w9: w8</t>
  </si>
  <si>
    <t>DIV tax withholding on $45.42 at 15% for tax country THA; w8w9: w8</t>
  </si>
  <si>
    <t>Cash DIV @ 0.048733, Pos QTY: 2.79787836, Rec Date: 2025-06-27</t>
  </si>
  <si>
    <t>Cash DIV @ 0.204874, Pos QTY: 10.768305307, Rec Date: 2025-07-01</t>
  </si>
  <si>
    <t>Cash DIV @ 0.1078, Pos QTY: 120.125880025, Rec Date: 2025-07-01</t>
  </si>
  <si>
    <t>Cash DIV @ 0.347169, Pos QTY: 45.220113162, Rec Date: 2025-07-01</t>
  </si>
  <si>
    <t>Cash DIV @ 0.371166, Pos QTY: 58.083981264, Rec Date: 2025-07-01</t>
  </si>
  <si>
    <t>Cash DIV @ 0.1484, Pos QTY: 39.525314335, Rec Date: 2025-07-01</t>
  </si>
  <si>
    <t>Cash DIV @ 0.1574, Pos QTY: 32.238393264, Rec Date: 2025-07-03</t>
  </si>
  <si>
    <t>Cash DIV @ 1.2382, Pos QTY: 36.68372801, Rec Date: 2025-07-03</t>
  </si>
  <si>
    <t>DIV tax withholding on $1.89 at 15% for tax country THA; w8w9: w8</t>
  </si>
  <si>
    <t>DIV tax withholding on $11.65 at 15% for tax country THA; w8w9: w8</t>
  </si>
  <si>
    <t>DIV tax withholding on $0.69 at 15% for tax country THA; w8w9: w8</t>
  </si>
  <si>
    <t>Cash DIV @ 0.1587083, Pos QTY: 11.919515938, Rec Date: 2025-07-02</t>
  </si>
  <si>
    <t>Cash DIV @ 0.223463, Pos QTY: 52.142545527, Rec Date: 2025-07-01</t>
  </si>
  <si>
    <t>Cash DIV @ 0.333358, Pos QTY: 2.066151969, Rec Date: 2025-07-01</t>
  </si>
  <si>
    <t>07/10/2025</t>
  </si>
  <si>
    <t>Cash DIV @ 0.616441, Pos QTY: 1.061371047, Rec Date: 2025-06-12</t>
  </si>
  <si>
    <t>DIV tax withholding on $9 at 15% for tax country THA; w8w9: w8</t>
  </si>
  <si>
    <t>DIV tax withholding on $7.5 at 15% for tax country THA; w8w9: w8</t>
  </si>
  <si>
    <t>Cash DIV @ 0.45, Pos QTY: 20, Rec Date: 2025-07-09</t>
  </si>
  <si>
    <t>Cash DIV @ 0.25, Pos QTY: 30, Rec Date: 2025-07-09</t>
  </si>
  <si>
    <t>07/11/2025</t>
  </si>
  <si>
    <t>DIV tax withholding on $19.69 at 15% for tax country THA; w8w9: w8</t>
  </si>
  <si>
    <t>Cash DIV @ 0.19, Pos QTY: 15.057398918, Rec Date: 2025-07-03</t>
  </si>
  <si>
    <t>Cash DIV @ 0.3077, Pos QTY: 64, Rec Date: 2025-07-10</t>
  </si>
  <si>
    <t>DIV tax withholding on $4.34 at 15% for tax country THA; w8w9: w8</t>
  </si>
  <si>
    <t>Cash DIV @ 0.1347, Pos QTY: 32.238393264, Rec Date: 2025-07-10</t>
  </si>
  <si>
    <t>Cash DIV @ 0.269, Pos QTY: 2.743781906, Rec Date: 2025-07-01</t>
  </si>
  <si>
    <t>Cash DIV @ 0.4992, Pos QTY: 13.840422916, Rec Date: 2025-07-17</t>
  </si>
  <si>
    <t>DIV tax withholding on $6.91 at 15% for tax country THA; w8w9: w8</t>
  </si>
  <si>
    <t>DIV tax withholding on $41.55 at 15% for tax country THA; w8w9: w8</t>
  </si>
  <si>
    <t>Cash DIV @ 1.0285, Pos QTY: 40.402220619, Rec Date: 2025-07-17</t>
  </si>
  <si>
    <t>DIV tax withholding on $23.04 at 15% for tax country THA; w8w9: w8</t>
  </si>
  <si>
    <t>Cash DIV @ 2.5602, Pos QTY: 9, Rec Date: 2025-07-17</t>
  </si>
  <si>
    <t>DIV tax withholding on $3.36 at 15% for tax country THA; w8w9: w8</t>
  </si>
  <si>
    <t>Cash DIV @ 0.1041, Pos QTY: 32.238393264, Rec Date: 2025-07-17</t>
  </si>
  <si>
    <t>DIV tax withholding on $9.06 at 15% for tax country THA; w8w9: w8</t>
  </si>
  <si>
    <t>DIV tax withholding on $5.93 at 15% for tax country THA; w8w9: w8</t>
  </si>
  <si>
    <t>Cash DIV @ 0.11739, Pos QTY: 77.210508319, Rec Date: 2025-07-21</t>
  </si>
  <si>
    <t>Cash DIV @ 0.10613, Pos QTY: 52.833707446, Rec Date: 2025-07-21</t>
  </si>
  <si>
    <t>Cash DIV @ 0.1838, Pos QTY: 32.238393264, Rec Date: 2025-07-24</t>
  </si>
  <si>
    <t>DIV tax withholding on $82.83 at 15% for tax country THA; w8w9: w8</t>
  </si>
  <si>
    <t>Cash DIV @ 0.7951, Pos QTY: 104.17831394, Rec Date: 2025-07-24</t>
  </si>
  <si>
    <t>DIV tax withholding on $2.6 at 15% for tax country THA; w8w9: w8</t>
  </si>
  <si>
    <t>Cash DIV @ 0.25041, Pos QTY: 10.375071294, Rec Date: 2025-07-24</t>
  </si>
  <si>
    <t>Cash DIV @ 0.18, Pos QTY: 16, Rec Date: 2025-07-25</t>
  </si>
  <si>
    <t>DIV tax withholding on $23.81 at 15% for tax country THA; w8w9: w8</t>
  </si>
  <si>
    <t>DIV tax withholding on $2.64 at 15% for tax country THA; w8w9: w8</t>
  </si>
  <si>
    <t>Cash DIV @ 0.07, Pos QTY: 25, Rec Date: 2025-07-24</t>
  </si>
  <si>
    <t>Cash DIV @ 0.652753, Pos QTY: 36.469684125, Rec Date: 2025-07-30</t>
  </si>
  <si>
    <t>Cash DIV @ 0.155, Pos QTY: 17, Rec Date: 2025-07-15</t>
  </si>
  <si>
    <t>DIV tax withholding on $5.31 at 15% for tax country THA; w8w9: w8</t>
  </si>
  <si>
    <t>Cash DIV @ 0.1646, Pos QTY: 32.238393264, Rec Date: 2025-07-31</t>
  </si>
  <si>
    <t>DIV tax withholding on $44.73 at 15% for tax country THA; w8w9: w8</t>
  </si>
  <si>
    <t>Cash DIV @ 1.1835, Pos QTY: 37.791682555, Rec Date: 2025-07-31</t>
  </si>
  <si>
    <t>DIV tax withholding on $16.2 at 15% for tax country THA; w8w9: w8</t>
  </si>
  <si>
    <t>Cash DIV @ 0.33065, Pos QTY: 49, Rec Date: 2025-08-01</t>
  </si>
  <si>
    <t>DIV tax withholding on $2.65 at 15% for tax country THA; w8w9: w8</t>
  </si>
  <si>
    <t>Cash DIV @ 0.44377, Pos QTY: 5.960625827, Rec Date: 2025-08-01</t>
  </si>
  <si>
    <t>DIV tax withholding on $13.12 at 15% for tax country THA; w8w9: w8</t>
  </si>
  <si>
    <t>DIV tax withholding on $22.48 at 15% for tax country THA; w8w9: w8</t>
  </si>
  <si>
    <t>DIV tax withholding on $16.52 at 15% for tax country THA; w8w9: w8</t>
  </si>
  <si>
    <t>DIV tax withholding on $6.25 at 15% for tax country THA; w8w9: w8</t>
  </si>
  <si>
    <t>Cash DIV @ 0.210153, Pos QTY: 11.968195153, Rec Date: 2025-08-01</t>
  </si>
  <si>
    <t>Cash DIV @ 0.1075, Pos QTY: 122.054406473, Rec Date: 2025-08-01</t>
  </si>
  <si>
    <t>Cash DIV @ 0.384741, Pos QTY: 58.419561488, Rec Date: 2025-08-01</t>
  </si>
  <si>
    <t>Cash DIV @ 0.362484, Pos QTY: 45.588122088, Rec Date: 2025-08-01</t>
  </si>
  <si>
    <t>Cash DIV @ 0.152607, Pos QTY: 40.982053825, Rec Date: 2025-08-01</t>
  </si>
  <si>
    <t>DIV tax withholding on $0.77 at 15% for tax country THA; w8w9: w8</t>
  </si>
  <si>
    <t>DIV tax withholding on $11.46 at 15% for tax country THA; w8w9: w8</t>
  </si>
  <si>
    <t>Cash DIV @ 0.249, Pos QTY: 3.082439155, Rec Date: 2025-08-01</t>
  </si>
  <si>
    <t>Cash DIV @ 0.214738, Pos QTY: 53.349080595, Rec Date: 2025-08-01</t>
  </si>
  <si>
    <t>DIV tax withholding on $2.41 at 15% for tax country THA; w8w9: w8</t>
  </si>
  <si>
    <t>DIV tax withholding on $28.74 at 15% for tax country THA; w8w9: w8</t>
  </si>
  <si>
    <t>DIV tax withholding on $4.68 at 15% for tax country THA; w8w9: w8</t>
  </si>
  <si>
    <t>Cash DIV @ 0.1695292, Pos QTY: 14.239620736, Rec Date: 2025-08-04</t>
  </si>
  <si>
    <t>Cash DIV @ 0.4491, Pos QTY: 64, Rec Date: 2025-08-07</t>
  </si>
  <si>
    <t>Cash DIV @ 0.1453, Pos QTY: 32.238393264, Rec Date: 2025-08-07</t>
  </si>
  <si>
    <t>DIV tax withholding on $3.1 at 15% for tax country THA; w8w9: w8</t>
  </si>
  <si>
    <t>Cash DIV @ 0.19, Pos QTY: 16.334693356, Rec Date: 2025-08-05</t>
  </si>
  <si>
    <t>08/14/2025</t>
  </si>
  <si>
    <t>DIV tax withholding on $7.75 at 15% for tax country THA; w8w9: w8</t>
  </si>
  <si>
    <t>Cash DIV @ 0.45, Pos QTY: 20, Rec Date: 2025-08-13</t>
  </si>
  <si>
    <t>Cash DIV @ 0.25, Pos QTY: 31, Rec Date: 2025-08-13</t>
  </si>
  <si>
    <t>DIV tax withholding on $9.8 at 15% for tax country THA; w8w9: w8</t>
  </si>
  <si>
    <t>Cash DIV @ 7.4924, Pos QTY: 9, Rec Date: 2025-08-14</t>
  </si>
  <si>
    <t>Cash DIV @ 0.1102, Pos QTY: 32.707712826, Rec Date: 2025-08-14</t>
  </si>
  <si>
    <t>DIV tax withholding on $1.02 at 15% for tax country THA; w8w9: w8</t>
  </si>
  <si>
    <t>Cash DIV @ 0.269, Pos QTY: 3.7875905, Rec Date: 2025-08-01</t>
  </si>
  <si>
    <t>DIV tax withholding on $35.36 at 15% for tax country THA; w8w9: w8</t>
  </si>
  <si>
    <t>Cash DIV @ 0.8397, Pos QTY: 42.113844804, Rec Date: 2025-08-14</t>
  </si>
  <si>
    <t>DIV tax withholding on $3.6 at 15% for tax country THA; w8w9: w8</t>
  </si>
  <si>
    <t>DIV tax withholding on $67.43 at 15% for tax country THA; w8w9: w8</t>
  </si>
  <si>
    <t>Cash DIV @ 0.6241, Pos QTY: 15.706699087, Rec Date: 2025-08-14</t>
  </si>
  <si>
    <t>DIV tax withholding on $36.99 at 15% for tax country THA; w8w9: w8</t>
  </si>
  <si>
    <t>DIV tax withholding on $9.24 at 15% for tax country THA; w8w9: w8</t>
  </si>
  <si>
    <t>DIV tax withholding on $5.89 at 15% for tax country THA; w8w9: w8</t>
  </si>
  <si>
    <t>Cash DIV @ 0.3438, Pos QTY: 107.591419353, Rec Date: 2025-08-21</t>
  </si>
  <si>
    <t>Cash DIV @ 0.11615, Pos QTY: 79.549699883, Rec Date: 2025-08-18</t>
  </si>
  <si>
    <t>Cash DIV @ 0.10674, Pos QTY: 55.221300822, Rec Date: 2025-08-18</t>
  </si>
  <si>
    <t>Cash DIV @ 0.1622, Pos QTY: 32.707712826, Rec Date: 2025-08-21</t>
  </si>
  <si>
    <t>08/27/2025</t>
  </si>
  <si>
    <t>Cash DIV @ 0.18, Pos QTY: 17, Rec Date: 2025-08-26</t>
  </si>
  <si>
    <t>Cash DIV @ 0.27, Pos QTY: 9.586161604, Rec Date: 2025-08-08</t>
  </si>
  <si>
    <t>DIV tax withholding on $2.79 at 15% for tax country THA; w8w9: w8</t>
  </si>
  <si>
    <t>DIV tax withholding on $2.38 at 15% for tax country THA; w8w9: w8</t>
  </si>
  <si>
    <t>Cash DIV @ 0.1372, Pos QTY: 32.707712826, Rec Date: 2025-08-28</t>
  </si>
  <si>
    <t>DIV tax withholding on $41.53 at 15% for tax country THA; w8w9: w8</t>
  </si>
  <si>
    <t>DIV tax withholding on $4.49 at 15% for tax country THA; w8w9: w8</t>
  </si>
  <si>
    <t>Cash DIV @ 1.0899, Pos QTY: 38.104150954, Rec Date: 2025-08-28</t>
  </si>
  <si>
    <t>DIV tax withholding on $24.08 at 15% for tax country THA; w8w9: w8</t>
  </si>
  <si>
    <t>Cash DIV @ 0.07, Pos QTY: 34, Rec Date: 2025-08-22</t>
  </si>
  <si>
    <t>Cash DIV @ 0.3073209, Pos QTY: 11.637505959, Rec Date: 2025-08-27</t>
  </si>
  <si>
    <t>Cash DIV @ 0.660315, Pos QTY: 36.469684125, Rec Date: 2025-08-28</t>
  </si>
  <si>
    <t>Cash DIV @ 0.155, Pos QTY: 18, Rec Date: 2025-08-12</t>
  </si>
  <si>
    <t>09/04/2025</t>
  </si>
  <si>
    <t>DIV tax withholding on $2.76 at 15% for tax country THA; w8w9: w8</t>
  </si>
  <si>
    <t>Cash DIV @ 0.44195, Pos QTY: 6.239315534, Rec Date: 2025-09-02</t>
  </si>
  <si>
    <t>DIV tax withholding on $15.46 at 15% for tax country THA; w8w9: w8</t>
  </si>
  <si>
    <t>Cash DIV @ 0.31546, Pos QTY: 49, Rec Date: 2025-09-02</t>
  </si>
  <si>
    <t>09/05/2025</t>
  </si>
  <si>
    <t>DIV tax withholding on $2.61 at 15% for tax country THA; w8w9: w8</t>
  </si>
  <si>
    <t>DIV tax withholding on $45.12 at 15% for tax country THA; w8w9: w8</t>
  </si>
  <si>
    <t>DIV tax withholding on $16.42 at 15% for tax country THA; w8w9: w8</t>
  </si>
  <si>
    <t>DIV tax withholding on $6.32 at 15% for tax country THA; w8w9: w8</t>
  </si>
  <si>
    <t>DIV tax withholding on $22.68 at 15% for tax country THA; w8w9: w8</t>
  </si>
  <si>
    <t>Cash DIV @ 0.1096, Pos QTY: 122.538758186, Rec Date: 2025-09-02</t>
  </si>
  <si>
    <t>Cash DIV @ 0.213934, Pos QTY: 12.210551603, Rec Date: 2025-09-02</t>
  </si>
  <si>
    <t>Cash DIV @ 0.6942, Pos QTY: 65, Rec Date: 2025-09-04</t>
  </si>
  <si>
    <t>Cash DIV @ 0.360128, Pos QTY: 45.588122088, Rec Date: 2025-09-02</t>
  </si>
  <si>
    <t>Cash DIV @ 0.152376, Pos QTY: 41.468695798, Rec Date: 2025-09-02</t>
  </si>
  <si>
    <t>Cash DIV @ 0.387601, Pos QTY: 58.503667532, Rec Date: 2025-09-02</t>
  </si>
  <si>
    <t>Cash DIV @ 0.1094, Pos QTY: 32.707712826, Rec Date: 2025-09-04</t>
  </si>
  <si>
    <t>09/08/2025</t>
  </si>
  <si>
    <t>DIV tax withholding on $11.94 at 15% for tax country THA; w8w9: w8</t>
  </si>
  <si>
    <t>DIV tax withholding on $0.9 at 15% for tax country THA; w8w9: w8</t>
  </si>
  <si>
    <t>Cash DIV @ 0.222585, Pos QTY: 53.654127191, Rec Date: 2025-09-02</t>
  </si>
  <si>
    <t>Cash DIV @ 0.273402, Pos QTY: 3.274571471, Rec Date: 2025-09-02</t>
  </si>
  <si>
    <t>09/09/2025</t>
  </si>
  <si>
    <t>DIV tax withholding on $2.56 at 15% for tax country THA; w8w9: w8</t>
  </si>
  <si>
    <t>Cash DIV @ 0.1752296, Pos QTY: 14.585929761, Rec Date: 2025-09-03</t>
  </si>
  <si>
    <t>09/11/2025</t>
  </si>
  <si>
    <t>DIV tax withholding on $10.5 at 15% for tax country THA; w8w9: w8</t>
  </si>
  <si>
    <t>Cash DIV @ 0.5, Pos QTY: 21, Rec Date: 2025-09-10</t>
  </si>
  <si>
    <t>Cash DIV @ 0.25, Pos QTY: 32, Rec Date: 2025-09-10</t>
  </si>
  <si>
    <t>Cash DIV @ 0.19, Pos QTY: 16.334693356, Rec Date: 2025-09-04</t>
  </si>
  <si>
    <t>09/12/2025</t>
  </si>
  <si>
    <t>DIV tax withholding on $7.31 at 15% for tax country THA; w8w9: w8</t>
  </si>
  <si>
    <t>DIV tax withholding on $21.97 at 15% for tax country THA; w8w9: w8</t>
  </si>
  <si>
    <t>DIV tax withholding on $27.31 at 15% for tax country THA; w8w9: w8</t>
  </si>
  <si>
    <t>DIV tax withholding on $4.32 at 15% for tax country THA; w8w9: w8</t>
  </si>
  <si>
    <t>Cash DIV @ 0.4545, Pos QTY: 16.087227873, Rec Date: 2025-09-11</t>
  </si>
  <si>
    <t>Cash DIV @ 2.441, Pos QTY: 9, Rec Date: 2025-09-11</t>
  </si>
  <si>
    <t>Cash DIV @ 0.6428, Pos QTY: 42.485197589, Rec Date: 2025-09-11</t>
  </si>
  <si>
    <t>Cash DIV @ 0.1321, Pos QTY: 32.707712826, Rec Date: 2025-09-11</t>
  </si>
  <si>
    <t>09/15/2025</t>
  </si>
  <si>
    <t>DIV tax withholding on $1.06 at 15% for tax country THA; w8w9: w8</t>
  </si>
  <si>
    <t>Cash DIV @ 0.269, Pos QTY: 3.954240468, Rec Date: 2025-09-02</t>
  </si>
  <si>
    <t>09/19/2025</t>
  </si>
  <si>
    <t>DIV tax withholding on $48.65 at 15% for tax country THA; w8w9: w8</t>
  </si>
  <si>
    <t>Cash DIV @ 0.4522, Pos QTY: 107.591419353, Rec Date: 2025-09-18</t>
  </si>
  <si>
    <t>DIV tax withholding on $2.75 at 15% for tax country THA; w8w9: w8</t>
  </si>
  <si>
    <t>DIV tax withholding on $4.22 at 15% for tax country THA; w8w9: w8</t>
  </si>
  <si>
    <t>Cash DIV @ 0.551337, Pos QTY: 4.992099604, Rec Date: 2025-09-16</t>
  </si>
  <si>
    <t>Cash DIV @ 0.1289, Pos QTY: 32.707712826, Rec Date: 2025-09-18</t>
  </si>
  <si>
    <t>09/23/2025</t>
  </si>
  <si>
    <t>DIV tax withholding on $1.43 at 15% for tax country THA; w8w9: w8</t>
  </si>
  <si>
    <t>Cash DIV @ 2.21, Pos QTY: 0.648050784, Rec Date: 2025-09-15</t>
  </si>
  <si>
    <t>09/26/2025</t>
  </si>
  <si>
    <t>DIV tax withholding on $38.5 at 15% for tax country THA; w8w9: w8</t>
  </si>
  <si>
    <t>Cash DIV @ 1.0105, Pos QTY: 38.104150954, Rec Date: 2025-09-25</t>
  </si>
  <si>
    <t>DIV tax withholding on $0.21 at 15% for tax country THA; w8w9: w8</t>
  </si>
  <si>
    <t>Cash DIV @ 3.3, Pos QTY: 0.063424902, Rec Date: 2025-09-02</t>
  </si>
  <si>
    <t>DIV tax withholding on $8.77 at 15% for tax country THA; w8w9: w8</t>
  </si>
  <si>
    <t>DIV tax withholding on $2.69 at 15% for tax country THA; w8w9: w8</t>
  </si>
  <si>
    <t>Cash DIV @ 0.11021, Pos QTY: 79.549699883, Rec Date: 2025-09-22</t>
  </si>
  <si>
    <t>Cash DIV @ 0.27, Pos QTY: 2.938912839, Rec Date: 2025-09-12</t>
  </si>
  <si>
    <t>Cash DIV @ 0.20074, Pos QTY: 3.701887278, Rec Date: 2025-09-22</t>
  </si>
  <si>
    <t>Cash DIV @ 0.10359, Pos QTY: 55.221300822, Rec Date: 2025-09-22</t>
  </si>
  <si>
    <t>Cash DIV @ 0.0821, Pos QTY: 32.707712826, Rec Date: 2025-09-25</t>
  </si>
  <si>
    <t>09/29/2025</t>
  </si>
  <si>
    <t>DIV tax withholding on $2.2 at 15% for tax country THA; w8w9: w8</t>
  </si>
  <si>
    <t>Cash DIV @ 0.2593389, Pos QTY: 11.637505959, Rec Date: 2025-09-25</t>
  </si>
  <si>
    <t>Cash DIV @ 0.2604, Pos QTY: 8.432153622, Rec Date: 2025-09-24</t>
  </si>
  <si>
    <t>Cash DIV @ 0.07, Pos QTY: 34, Rec Date: 2025-09-23</t>
  </si>
  <si>
    <t>Cash DIV @ 0.668537, Pos QTY: 36.469684125, Rec Date: 2025-09-29</t>
  </si>
  <si>
    <t>DIV tax withholding on $24.38 at 15% for tax country THA; w8w9: w8</t>
  </si>
  <si>
    <t>Cash DIV @ 0.155, Pos QTY: 18, Rec Date: 2025-09-09</t>
  </si>
  <si>
    <t>Cash DIV @ 0.51, Pos QTY: 3.147079266, Rec Date: 2025-09-15</t>
  </si>
  <si>
    <t>DIV tax withholding on $2.78 at 15% for tax country THA; w8w9: w8</t>
  </si>
  <si>
    <t>Cash DIV @ 0.44612, Pos QTY: 6.239315534, Rec Date: 2025-10-01</t>
  </si>
  <si>
    <t>Cash DIV @ 0.30328, Pos QTY: 49, Rec Date: 2025-10-01</t>
  </si>
  <si>
    <t>DIV tax withholding on $14.86 at 15% for tax country THA; w8w9: w8</t>
  </si>
  <si>
    <t>DIV tax withholding on $45.08 at 15% for tax country THA; w8w9: w8</t>
  </si>
  <si>
    <t>DIV tax withholding on $4.58 at 15% for tax country THA; w8w9: w8</t>
  </si>
  <si>
    <t>Cash DIV @ 0.6935, Pos QTY: 65, Rec Date: 2025-10-02</t>
  </si>
  <si>
    <t>Cash DIV @ 0.1399, Pos QTY: 32.707712826, Rec Date: 2025-10-02</t>
  </si>
  <si>
    <t>10/06/2025</t>
  </si>
  <si>
    <t>DIV tax withholding on $2.54 at 15% for tax country THA; w8w9: w8</t>
  </si>
  <si>
    <t>DIV tax withholding on $13.16 at 15% for tax country THA; w8w9: w8</t>
  </si>
  <si>
    <t>DIV tax withholding on $21.49 at 15% for tax country THA; w8w9: w8</t>
  </si>
  <si>
    <t>DIV tax withholding on $6.05 at 15% for tax country THA; w8w9: w8</t>
  </si>
  <si>
    <t>DIV tax withholding on $15.8 at 15% for tax country THA; w8w9: w8</t>
  </si>
  <si>
    <t>Cash DIV @ 0.208408, Pos QTY: 12.210551603, Rec Date: 2025-10-01</t>
  </si>
  <si>
    <t>Cash DIV @ 0.1074, Pos QTY: 122.538758186, Rec Date: 2025-10-01</t>
  </si>
  <si>
    <t>Cash DIV @ 0.367379, Pos QTY: 58.503667532, Rec Date: 2025-10-01</t>
  </si>
  <si>
    <t>Cash DIV @ 0.145961, Pos QTY: 41.468695798, Rec Date: 2025-10-01</t>
  </si>
  <si>
    <t>Cash DIV @ 0.346643, Pos QTY: 45.588122088, Rec Date: 2025-10-01</t>
  </si>
  <si>
    <t>DIV tax withholding on $12.16 at 15% for tax country THA; w8w9: w8</t>
  </si>
  <si>
    <t>DIV tax withholding on $0.95 at 15% for tax country THA; w8w9: w8</t>
  </si>
  <si>
    <t>Cash DIV @ 0.226664, Pos QTY: 53.654127191, Rec Date: 2025-10-01</t>
  </si>
  <si>
    <t>Cash DIV @ 0.289752, Pos QTY: 3.274571471, Rec Date: 2025-10-01</t>
  </si>
  <si>
    <t>DIV tax withholding on $2.49 at 15% for tax country THA; w8w9: w8</t>
  </si>
  <si>
    <t>Cash DIV @ 0.1709075, Pos QTY: 14.585929761, Rec Date: 2025-10-02</t>
  </si>
  <si>
    <t>10/09/2025</t>
  </si>
  <si>
    <t>Cash DIV @ 0.649352, Pos QTY: 1.061371047, Rec Date: 2025-09-16</t>
  </si>
  <si>
    <t>DIV tax withholding on $4.94 at 15% for tax country THA; w8w9: w8</t>
  </si>
  <si>
    <t>DIV tax withholding on $33.79 at 15% for tax country THA; w8w9: w8</t>
  </si>
  <si>
    <t>DIV tax withholding on $29.56 at 15% for tax country THA; w8w9: w8</t>
  </si>
  <si>
    <t>Cash DIV @ 0.3069, Pos QTY: 16.087227873, Rec Date: 2025-10-09</t>
  </si>
  <si>
    <t>Cash DIV @ 0.7954, Pos QTY: 42.485197589, Rec Date: 2025-10-09</t>
  </si>
  <si>
    <t>Cash DIV @ 3.2847, Pos QTY: 9, Rec Date: 2025-10-09</t>
  </si>
  <si>
    <t>Cash DIV @ 0.19, Pos QTY: 16.334693356, Rec Date: 2025-10-03</t>
  </si>
  <si>
    <t>Cash DIV @ 0.147, Pos QTY: 32.707712826, Rec Date: 2025-10-09</t>
  </si>
  <si>
    <t>10/15/2025</t>
  </si>
  <si>
    <t>DIV tax withholding on $1.07 at 15% for tax country THA; w8w9: w8</t>
  </si>
  <si>
    <t>Cash DIV @ 0.2695, Pos QTY: 3.954240468, Rec Date: 2025-10-01</t>
  </si>
  <si>
    <t>DIV tax withholding on $20.8 at 15% for tax country THA; w8w9: w8</t>
  </si>
  <si>
    <t>DIV tax withholding on $5.7 at 15% for tax country THA; w8w9: w8</t>
  </si>
  <si>
    <t>Cash DIV @ 0.5, Pos QTY: 21, Rec Date: 2025-10-15</t>
  </si>
  <si>
    <t>Cash DIV @ 0.65, Pos QTY: 32, Rec Date: 2025-10-15</t>
  </si>
  <si>
    <t>Cash DIV @ 0.1743, Pos QTY: 32.707712826, Rec Date: 2025-10-15</t>
  </si>
  <si>
    <t>10/17/2025</t>
  </si>
  <si>
    <t>DIV tax withholding on $1.73 at 15% for tax country THA; w8w9: w8</t>
  </si>
  <si>
    <t>DIV tax withholding on $11.28 at 15% for tax country THA; w8w9: w8</t>
  </si>
  <si>
    <t>DIV tax withholding on $0.18 at 15% for tax country THA; w8w9: w8</t>
  </si>
  <si>
    <t>DIV tax withholding on $5.05 at 15% for tax country THA; w8w9: w8</t>
  </si>
  <si>
    <t>DIV tax withholding on $23.14 at 15% for tax country THA; w8w9: w8</t>
  </si>
  <si>
    <t>DIV tax withholding on $7.41 at 15% for tax country THA; w8w9: w8</t>
  </si>
  <si>
    <t>DIV tax withholding on $37.25 at 15% for tax country THA; w8w9: w8</t>
  </si>
  <si>
    <t>Cash DIV @ 0.0954, Pos QTY: 18.120756786, Rec Date: 2025-10-16</t>
  </si>
  <si>
    <t>Cash DIV @ 0.1635, Pos QTY: 69, Rec Date: 2025-10-16</t>
  </si>
  <si>
    <t>Cash DIV @ 0.13, Pos QTY: 1.396400596, Rec Date: 2025-09-18</t>
  </si>
  <si>
    <t>Cash DIV @ 0.1094, Pos QTY: 46.191842182, Rec Date: 2025-10-16</t>
  </si>
  <si>
    <t>Cash DIV @ 0.6074, Pos QTY: 38.104150954, Rec Date: 2025-10-16</t>
  </si>
  <si>
    <t>Cash DIV @ 0.7407, Pos QTY: 10, Rec Date: 2025-10-16</t>
  </si>
  <si>
    <t>Cash DIV @ 0.3462, Pos QTY: 107.591419353, Rec Date: 2025-10-16</t>
  </si>
  <si>
    <t>10/23/2025</t>
  </si>
  <si>
    <t>DIV tax withholding on $5.14 at 15% for tax country THA; w8w9: w8</t>
  </si>
  <si>
    <t>Cash DIV @ 0.1573, Pos QTY: 32.707712826, Rec Date: 2025-10-22</t>
  </si>
  <si>
    <t>DIV tax withholding on $8.09 at 15% for tax country THA; w8w9: w8</t>
  </si>
  <si>
    <t>Cash DIV @ 0.2122, Pos QTY: 38.104150954, Rec Date: 2025-10-23</t>
  </si>
  <si>
    <t>DIV tax withholding on $2.48 at 15% for tax country THA; w8w9: w8</t>
  </si>
  <si>
    <t>DIV tax withholding on $14.46 at 15% for tax country THA; w8w9: w8</t>
  </si>
  <si>
    <t>DIV tax withholding on $9.83 at 15% for tax country THA; w8w9: w8</t>
  </si>
  <si>
    <t>DIV tax withholding on $5.57 at 15% for tax country THA; w8w9: w8</t>
  </si>
  <si>
    <t>DIV tax withholding on $5.6 at 15% for tax country THA; w8w9: w8</t>
  </si>
  <si>
    <t>DIV tax withholding on $10.03 at 15% for tax country THA; w8w9: w8</t>
  </si>
  <si>
    <t>Cash DIV @ 0.1367, Pos QTY: 18.120756786, Rec Date: 2025-10-23</t>
  </si>
  <si>
    <t>Cash DIV @ 0.2096, Pos QTY: 69, Rec Date: 2025-10-23</t>
  </si>
  <si>
    <t>Cash DIV @ 0.12357, Pos QTY: 79.549699883, Rec Date: 2025-10-20</t>
  </si>
  <si>
    <t>Cash DIV @ 0.1206, Pos QTY: 46.191842182, Rec Date: 2025-10-23</t>
  </si>
  <si>
    <t>Cash DIV @ 0.7373, Pos QTY: 10, Rec Date: 2025-10-23</t>
  </si>
  <si>
    <t>Cash DIV @ 0.10144, Pos QTY: 55.221300822, Rec Date: 2025-10-20</t>
  </si>
  <si>
    <t>Cash DIV @ 0.0932, Pos QTY: 107.591419353, Rec Date: 2025-10-23</t>
  </si>
  <si>
    <t>10/27/2025</t>
  </si>
  <si>
    <t>Cash DIV @ 0.2526829, Pos QTY: 11.637505959, Rec Date: 2025-10-23</t>
  </si>
  <si>
    <t>10/30/2025</t>
  </si>
  <si>
    <t>DIV tax withholding on $6.34 at 15% for tax country THA; w8w9: w8</t>
  </si>
  <si>
    <t>Cash DIV @ 0.1939, Pos QTY: 32.707712826, Rec Date: 2025-10-29</t>
  </si>
  <si>
    <t>10/31/2025</t>
  </si>
  <si>
    <t>DIV tax withholding on $26.6 at 15% for tax country THA; w8w9: w8</t>
  </si>
  <si>
    <t>Cash DIV @ 0.668229, Pos QTY: 39.806637678, Rec Date: 2025-10-30</t>
  </si>
  <si>
    <t>DIV tax withholding on $2.84 at 15% for tax country THA; w8w9: w8</t>
  </si>
  <si>
    <t>DIV tax withholding on $9.54 at 15% for tax country THA; w8w9: w8</t>
  </si>
  <si>
    <t>DIV tax withholding on $12.46 at 15% for tax country THA; w8w9: w8</t>
  </si>
  <si>
    <t>DIV tax withholding on $3.57 at 15% for tax country THA; w8w9: w8</t>
  </si>
  <si>
    <t>DIV tax withholding on $14.47 at 15% for tax country THA; w8w9: w8</t>
  </si>
  <si>
    <t>Cash DIV @ 0.1567, Pos QTY: 18.120756786, Rec Date: 2025-10-30</t>
  </si>
  <si>
    <t>Cash DIV @ 0.07, Pos QTY: 34, Rec Date: 2025-10-24</t>
  </si>
  <si>
    <t>Cash DIV @ 0.1383, Pos QTY: 69, Rec Date: 2025-10-30</t>
  </si>
  <si>
    <t>Cash DIV @ 1.2464, Pos QTY: 10, Rec Date: 2025-10-30</t>
  </si>
  <si>
    <t>Cash DIV @ 0.155, Pos QTY: 23, Rec Date: 2025-10-02</t>
  </si>
  <si>
    <t>Cash DIV @ 0.1345, Pos QTY: 107.591419353, Rec Date: 2025-10-30</t>
  </si>
  <si>
    <t>DIV tax withholding on $8.57 at 15% for tax country THA; w8w9: w8</t>
  </si>
  <si>
    <t>Cash DIV @ 0.1924, Pos QTY: 44.547850902, Rec Date: 2025-10-30</t>
  </si>
  <si>
    <t>DIV tax withholding on $8.43 at 15% for tax country THA; w8w9: w8</t>
  </si>
  <si>
    <t>Cash DIV @ 0.1824, Pos QTY: 46.191842182, Rec Date: 2025-10-30</t>
  </si>
  <si>
    <t>11/05/2025</t>
  </si>
  <si>
    <t>Cash DIV @ 0.47553, Pos QTY: 7.459082732, Rec Date: 2025-11-03</t>
  </si>
  <si>
    <t>DIV tax withholding on $3.55 at 15% for tax country THA; w8w9: w8</t>
  </si>
  <si>
    <t>DIV tax withholding on $13.01 at 15% for tax country THA; w8w9: w8</t>
  </si>
  <si>
    <t>Cash DIV @ 0.25012, Pos QTY: 52, Rec Date: 2025-11-03</t>
  </si>
  <si>
    <t>DIV tax withholding on $6.41 at 15% for tax country THA; w8w9: w8</t>
  </si>
  <si>
    <t>DIV tax withholding on $13.38 at 15% for tax country THA; w8w9: w8</t>
  </si>
  <si>
    <t>Cash DIV @ 0.205306, Pos QTY: 13.425754398, Rec Date: 2025-11-03</t>
  </si>
  <si>
    <t>Cash DIV @ 0.1076, Pos QTY: 124.382763207, Rec Date: 2025-11-03</t>
  </si>
  <si>
    <t>Cash DIV @ 0.370549, Pos QTY: 58.775880075, Rec Date: 2025-11-03</t>
  </si>
  <si>
    <t>Cash DIV @ 0.142305, Pos QTY: 45.07490548, Rec Date: 2025-11-03</t>
  </si>
  <si>
    <t>Cash DIV @ 0.1743, Pos QTY: 32.707712826, Rec Date: 2025-11-05</t>
  </si>
  <si>
    <t>DIV tax withholding on $15.85 at 15% for tax country THA; w8w9: w8</t>
  </si>
  <si>
    <t>Cash DIV @ 0.347608, Pos QTY: 45.588122088, Rec Date: 2025-11-03</t>
  </si>
  <si>
    <t>DIV tax withholding on $21.78 at 15% for tax country THA; w8w9: w8</t>
  </si>
  <si>
    <t>11/07/2025</t>
  </si>
  <si>
    <t>Cash DIV @ 0.1308, Pos QTY: 18.120756786, Rec Date: 2025-11-06</t>
  </si>
  <si>
    <t>Cash DIV @ 0.0887, Pos QTY: 107.591419353, Rec Date: 2025-11-06</t>
  </si>
  <si>
    <t>Cash DIV @ 0.1688, Pos QTY: 44.547850902, Rec Date: 2025-11-06</t>
  </si>
  <si>
    <t>DIV tax withholding on $2.37 at 15% for tax country THA; w8w9: w8</t>
  </si>
  <si>
    <t>DIV tax withholding on $19.33 at 15% for tax country THA; w8w9: w8</t>
  </si>
  <si>
    <t>DIV tax withholding on $12.18 at 15% for tax country THA; w8w9: w8</t>
  </si>
  <si>
    <t>DIV tax withholding on $1.35 at 15% for tax country THA; w8w9: w8</t>
  </si>
  <si>
    <t>DIV tax withholding on $14.72 at 15% for tax country THA; w8w9: w8</t>
  </si>
  <si>
    <t>DIV tax withholding on $12.19 at 15% for tax country THA; w8w9: w8</t>
  </si>
  <si>
    <t>Cash DIV @ 0.2802, Pos QTY: 69, Rec Date: 2025-11-06</t>
  </si>
  <si>
    <t>Cash DIV @ 0.222007, Pos QTY: 54.877253969, Rec Date: 2025-11-03</t>
  </si>
  <si>
    <t>Cash DIV @ 0.296315, Pos QTY: 4.561794894, Rec Date: 2025-11-03</t>
  </si>
  <si>
    <t>Cash DIV @ 0.3186, Pos QTY: 46.191842182, Rec Date: 2025-11-06</t>
  </si>
  <si>
    <t>Cash DIV @ 1.2187, Pos QTY: 10, Rec Date: 2025-11-06</t>
  </si>
  <si>
    <t>11/10/2025</t>
  </si>
  <si>
    <t>Cash DIV @ 0.1681602, Pos QTY: 16.901827542, Rec Date: 2025-11-04</t>
  </si>
  <si>
    <t>11/13/2025</t>
  </si>
  <si>
    <t>DIV tax withholding on $4.93 at 15% for tax country THA; w8w9: w8</t>
  </si>
  <si>
    <t>Cash DIV @ 0.5, Pos QTY: 23, Rec Date: 2025-11-12</t>
  </si>
  <si>
    <t>DIV tax withholding on $11.5 at 15% for tax country THA; w8w9: w8</t>
  </si>
  <si>
    <t>DIV tax withholding on $28 at 15% for tax country THA; w8w9: w8</t>
  </si>
  <si>
    <t>Cash DIV @ 0.8, Pos QTY: 35, Rec Date: 2025-11-12</t>
  </si>
  <si>
    <t>Cash DIV @ 0.19, Pos QTY: 18.965362902, Rec Date: 2025-11-05</t>
  </si>
  <si>
    <t>Cash DIV @ 0.1506, Pos QTY: 32.707712826, Rec Date: 2025-11-12</t>
  </si>
  <si>
    <t>Cash DIV @ 0.0832, Pos QTY: 107.591419353, Rec Date: 2025-11-13</t>
  </si>
  <si>
    <t>DIV tax withholding on $8.54 at 15% for tax country THA; w8w9: w8</t>
  </si>
  <si>
    <t>Cash DIV @ 0.162, Pos QTY: 52.696771042, Rec Date: 2025-11-13</t>
  </si>
  <si>
    <t>DIV tax withholding on $1.34 at 15% for tax country THA; w8w9: w8</t>
  </si>
  <si>
    <t>Cash DIV @ 0.2695, Pos QTY: 4.956113753, Rec Date: 2025-10-31</t>
  </si>
  <si>
    <t>DIV tax withholding on $1.93 at 15% for tax country THA; w8w9: w8</t>
  </si>
  <si>
    <t>DIV tax withholding on $7.2 at 15% for tax country THA; w8w9: w8</t>
  </si>
  <si>
    <t>DIV tax withholding on $9.17 at 15% for tax country THA; w8w9: w8</t>
  </si>
  <si>
    <t>DIV tax withholding on $6.76 at 15% for tax country THA; w8w9: w8</t>
  </si>
  <si>
    <t>Cash DIV @ 0.0942, Pos QTY: 20.510739642, Rec Date: 2025-11-13</t>
  </si>
  <si>
    <t>Cash DIV @ 0.1439, Pos QTY: 50.032604389, Rec Date: 2025-11-13</t>
  </si>
  <si>
    <t>Cash DIV @ 0.834, Pos QTY: 11, Rec Date: 2025-11-13</t>
  </si>
  <si>
    <t>Cash DIV @ 0.0939, Pos QTY: 72, Rec Date: 2025-11-13</t>
  </si>
  <si>
    <t>DIV tax withholding on $8.95 at 15% for tax country THA; w8w9: w8</t>
  </si>
  <si>
    <t>11/20/2025</t>
  </si>
  <si>
    <t>Cash DIV @ 0.1301, Pos QTY: 32.707712826, Rec Date: 2025-11-19</t>
  </si>
  <si>
    <t>DIV tax withholding on $4.26 at 15% for tax country THA; w8w9: w8</t>
  </si>
  <si>
    <t>11/21/2025</t>
  </si>
  <si>
    <t>DIV tax withholding on $8.03 at 15% for tax country THA; w8w9: w8</t>
  </si>
  <si>
    <t>DIV tax withholding on $1.85 at 15% for tax country THA; w8w9: w8</t>
  </si>
  <si>
    <t>DIV tax withholding on $7.19 at 15% for tax country THA; w8w9: w8</t>
  </si>
  <si>
    <t>DIV tax withholding on $6.83 at 15% for tax country THA; w8w9: w8</t>
  </si>
  <si>
    <t>DIV tax withholding on $7.49 at 15% for tax country THA; w8w9: w8</t>
  </si>
  <si>
    <t>DIV tax withholding on $7.77 at 15% for tax country THA; w8w9: w8</t>
  </si>
  <si>
    <t>Cash DIV @ 0.7296, Pos QTY: 11, Rec Date: 2025-11-20</t>
  </si>
  <si>
    <t>Cash DIV @ 0.27, Pos QTY: 9.586161604, Rec Date: 2025-11-05</t>
  </si>
  <si>
    <t>Cash DIV @ 0.0904, Pos QTY: 20.510739642, Rec Date: 2025-11-20</t>
  </si>
  <si>
    <t>Cash DIV @ 0.0999, Pos QTY: 72, Rec Date: 2025-11-20</t>
  </si>
  <si>
    <t>Cash DIV @ 0.0635, Pos QTY: 107.591419353, Rec Date: 2025-11-20</t>
  </si>
  <si>
    <t>Cash DIV @ 0.1497, Pos QTY: 50.032604389, Rec Date: 2025-11-20</t>
  </si>
  <si>
    <t>Cash DIV @ 0.1475, Pos QTY: 52.696771042, Rec Date: 2025-11-20</t>
  </si>
  <si>
    <t>Cash DIV @ 0.07, Pos QTY: 34, Rec Date: 2025-11-21</t>
  </si>
  <si>
    <t>DIV tax withholding on $3.43 at 15% for tax country THA; w8w9: w8</t>
  </si>
  <si>
    <t>Cash DIV @ 0.2943616, Pos QTY: 11.637505959, Rec Date: 2025-11-25</t>
  </si>
  <si>
    <t>DIV tax withholding on $10.59 at 15% for tax country THA; w8w9: w8</t>
  </si>
  <si>
    <t>Cash DIV @ 0.12923, Pos QTY: 81.932464237, Rec Date: 2025-11-24</t>
  </si>
  <si>
    <t>Cash DIV @ 0.634665, Pos QTY: 39.806637678, Rec Date: 2025-11-26</t>
  </si>
  <si>
    <t>DIV tax withholding on $25.26 at 15% for tax country THA; w8w9: w8</t>
  </si>
  <si>
    <t>DIV tax withholding on $0.47 at 15% for tax country THA; w8w9: w8</t>
  </si>
  <si>
    <t>Cash DIV @ 0.17, Pos QTY: 2.772274936, Rec Date: 2025-11-20</t>
  </si>
  <si>
    <t>Cash DIV @ 0.155, Pos QTY: 23, Rec Date: 2025-11-12</t>
  </si>
  <si>
    <t>Cash DIV @ 0.10418, Pos QTY: 57.650590286, Rec Date: 2025-11-24</t>
  </si>
  <si>
    <t>Cash DIV @ 0.1012, Pos QTY: 32.707712826, Rec Date: 2025-11-26</t>
  </si>
  <si>
    <t>12/01/2025</t>
  </si>
  <si>
    <t>Cash DIV @ 0.0656, Pos QTY: 107.591419353, Rec Date: 2025-11-28</t>
  </si>
  <si>
    <t>Cash DIV @ 0.088, Pos QTY: 20.510739642, Rec Date: 2025-11-28</t>
  </si>
  <si>
    <t>Cash DIV @ 0.2278, Pos QTY: 72, Rec Date: 2025-11-28</t>
  </si>
  <si>
    <t>DIV tax withholding on $16.4 at 15% for tax country THA; w8w9: w8</t>
  </si>
  <si>
    <t>DIV tax withholding on $7.12 at 15% for tax country THA; w8w9: w8</t>
  </si>
  <si>
    <t>Cash DIV @ 0.1352, Pos QTY: 52.696771042, Rec Date: 2025-11-28</t>
  </si>
  <si>
    <t>Cash DIV @ 0.1632, Pos QTY: 50.032604389, Rec Date: 2025-11-28</t>
  </si>
  <si>
    <t>DIV tax withholding on $8.17 at 15% for tax country THA; w8w9: w8</t>
  </si>
  <si>
    <t>Cash DIV @ 0.5916, Pos QTY: 11, Rec Date: 2025-11-28</t>
  </si>
  <si>
    <t>DIV tax withholding on $12.8 at 15% for tax country THA; w8w9: w8</t>
  </si>
  <si>
    <t>Cash DIV @ 0.1014, Pos QTY: 126.225798795, Rec Date: 2025-11-28</t>
  </si>
  <si>
    <t>DIV tax withholding on $13.97 at 15% for tax country THA; w8w9: w8</t>
  </si>
  <si>
    <t>Cash DIV @ 0.25877, Pos QTY: 54, Rec Date: 2025-12-01</t>
  </si>
  <si>
    <t>DIV tax withholding on $4.79 at 15% for tax country THA; w8w9: w8</t>
  </si>
  <si>
    <t>Cash DIV @ 0.55323, Pos QTY: 8.661460003, Rec Date: 2025-12-01</t>
  </si>
  <si>
    <t>DIV tax withholding on $2.83 at 15% for tax country THA; w8w9: w8</t>
  </si>
  <si>
    <t>Cash DIV @ 0.193014, Pos QTY: 14.642390272, Rec Date: 2025-12-01</t>
  </si>
  <si>
    <t>Cash DIV @ 0.351503, Pos QTY: 58.920814187, Rec Date: 2025-12-01</t>
  </si>
  <si>
    <t>Cash DIV @ 0.14377, Pos QTY: 47.526499857, Rec Date: 2025-12-01</t>
  </si>
  <si>
    <t>Cash DIV @ 0.312906, Pos QTY: 45.747440206, Rec Date: 2025-12-01</t>
  </si>
  <si>
    <t>DIV tax withholding on $14.31 at 15% for tax country THA; w8w9: w8</t>
  </si>
  <si>
    <t>Cash DIV @ 0.0964, Pos QTY: 32.707712826, Rec Date: 2025-12-03</t>
  </si>
  <si>
    <t>DIV tax withholding on $3.15 at 15% for tax country THA; w8w9: w8</t>
  </si>
  <si>
    <t>12/05/2025</t>
  </si>
  <si>
    <t>Cash DIV @ 1.1311, Pos QTY: 10.759141935, Rec Date: 2025-12-04</t>
  </si>
  <si>
    <t>DIV tax withholding on $12.17 at 15% for tax country THA; w8w9: w8</t>
  </si>
  <si>
    <t>Cash DIV @ 0.2504, Pos QTY: 20.510739642, Rec Date: 2025-12-04</t>
  </si>
  <si>
    <t>DIV tax withholding on $18.06 at 15% for tax country THA; w8w9: w8</t>
  </si>
  <si>
    <t>Cash DIV @ 0.2508, Pos QTY: 72, Rec Date: 2025-12-04</t>
  </si>
  <si>
    <t>Cash DIV @ 0.194914, Pos QTY: 55.782492646, Rec Date: 2025-12-01</t>
  </si>
  <si>
    <t>DIV tax withholding on $10.87 at 15% for tax country THA; w8w9: w8</t>
  </si>
  <si>
    <t>DIV tax withholding on $1.54 at 15% for tax country THA; w8w9: w8</t>
  </si>
  <si>
    <t>Cash DIV @ 0.26257, Pos QTY: 5.850358114, Rec Date: 2025-12-01</t>
  </si>
  <si>
    <t>Cash DIV @ 0.1388, Pos QTY: 52.696771042, Rec Date: 2025-12-04</t>
  </si>
  <si>
    <t>Cash DIV @ 0.1649, Pos QTY: 50.032604389, Rec Date: 2025-12-04</t>
  </si>
  <si>
    <t>DIV tax withholding on $8.25 at 15% for tax country THA; w8w9: w8</t>
  </si>
  <si>
    <t>Cash DIV @ 1.3015, Pos QTY: 11, Rec Date: 2025-12-04</t>
  </si>
  <si>
    <t>DIV tax withholding on $14.32 at 15% for tax country THA; w8w9: w8</t>
  </si>
  <si>
    <t>Cash DIV @ 0.1641027, Pos QTY: 19.231672838, Rec Date: 2025-12-02</t>
  </si>
  <si>
    <t>12/10/2025</t>
  </si>
  <si>
    <t>Cash DIV @ 0.19, Pos QTY: 21.442677927, Rec Date: 2025-12-03</t>
  </si>
  <si>
    <t>12/11/2025</t>
  </si>
  <si>
    <t>DIV tax withholding on $12.5 at 15% for tax country THA; w8w9: w8</t>
  </si>
  <si>
    <t>Cash DIV @ 0.5, Pos QTY: 25, Rec Date: 2025-12-10</t>
  </si>
  <si>
    <t>Cash DIV @ 0.75, Pos QTY: 37, Rec Date: 2025-12-10</t>
  </si>
  <si>
    <t>DIV tax withholding on $27.75 at 15% for tax country THA; w8w9: w8</t>
  </si>
  <si>
    <t>DIV tax withholding on $3.74 at 15% for tax country THA; w8w9: w8</t>
  </si>
  <si>
    <t>Cash DIV @ 0.1142, Pos QTY: 32.707712826, Rec Date: 2025-12-10</t>
  </si>
  <si>
    <t>12/12/2025</t>
  </si>
  <si>
    <t>Cash DIV @ 0.3901, Pos QTY: 10.759141935, Rec Date: 2025-12-11</t>
  </si>
  <si>
    <t>DIV tax withholding on $2.45 at 15% for tax country THA; w8w9: w8</t>
  </si>
  <si>
    <t>Cash DIV @ 0.1069, Pos QTY: 22.895187904, Rec Date: 2025-12-11</t>
  </si>
  <si>
    <t>DIV tax withholding on $8.02 at 15% for tax country THA; w8w9: w8</t>
  </si>
  <si>
    <t>Cash DIV @ 0.1084, Pos QTY: 74, Rec Date: 2025-12-11</t>
  </si>
  <si>
    <t>Cash DIV @ 0.1494, Pos QTY: 53.212463429, Rec Date: 2025-12-11</t>
  </si>
  <si>
    <t>DIV tax withholding on $7.95 at 15% for tax country THA; w8w9: w8</t>
  </si>
  <si>
    <t>Cash DIV @ 0.5859, Pos QTY: 11.85548324, Rec Date: 2025-12-11</t>
  </si>
  <si>
    <t>DIV tax withholding on $6.95 at 15% for tax country THA; w8w9: w8</t>
  </si>
  <si>
    <t>Cash DIV @ 0.5631, Pos QTY: 12, Rec Date: 2025-12-11</t>
  </si>
  <si>
    <t>Cash DIV @ 0.51, Pos QTY: 3.147079266, Rec Date: 2025-12-01</t>
  </si>
  <si>
    <t>Cash DIV @ 0.2695, Pos QTY: 4.956113753, Rec Date: 2025-11-28</t>
  </si>
  <si>
    <t>DIV tax withholding on $0.39 at 15% for tax country THA; w8w9: w8</t>
  </si>
  <si>
    <t>Cash DIV @ 0.0318, Pos QTY: 12.181604728, Rec Date: 2025-12-10</t>
  </si>
  <si>
    <t>DIV tax withholding on $3.84 at 15% for tax country THA; w8w9: w8</t>
  </si>
  <si>
    <t>Cash DIV @ 0.2782, Pos QTY: 13.794032971, Rec Date: 2025-12-10</t>
  </si>
  <si>
    <t>12/16/2025</t>
  </si>
  <si>
    <t>Cash DIV @ 2.21, Pos QTY: 0.713502159, Rec Date: 2025-12-08</t>
  </si>
  <si>
    <t>DIV tax withholding on $1.58 at 15% for tax country THA; w8w9: w8</t>
  </si>
  <si>
    <t>12/18/2025</t>
  </si>
  <si>
    <t>Cash DIV @ 0.42014, Pos QTY: 7.08266113, Rec Date: 2025-12-15</t>
  </si>
  <si>
    <t>DIV tax withholding on $2.98 at 15% for tax country THA; w8w9: w8</t>
  </si>
  <si>
    <t>Cash DIV @ 0.1235, Pos QTY: 32.707712826, Rec Date: 2025-12-17</t>
  </si>
  <si>
    <t>DIV tax withholding on $4.04 at 15% for tax country THA; w8w9: w8</t>
  </si>
  <si>
    <t>12/19/2025</t>
  </si>
  <si>
    <t>Cash DIV @ 0.5105, Pos QTY: 10.759141935, Rec Date: 2025-12-18</t>
  </si>
  <si>
    <t>DIV tax withholding on $5.49 at 15% for tax country THA; w8w9: w8</t>
  </si>
  <si>
    <t>Cash DIV @ 0.0756, Pos QTY: 22.895187904, Rec Date: 2025-12-18</t>
  </si>
  <si>
    <t>DIV tax withholding on $6.79 at 15% for tax country THA; w8w9: w8</t>
  </si>
  <si>
    <t>Cash DIV @ 0.0917, Pos QTY: 74, Rec Date: 2025-12-18</t>
  </si>
  <si>
    <t>Cash DIV @ 0.3869, Pos QTY: 11.85548324, Rec Date: 2025-12-18</t>
  </si>
  <si>
    <t>Cash DIV @ 0.27, Pos QTY: 2.938912839, Rec Date: 2025-12-05</t>
  </si>
  <si>
    <t>Cash DIV @ 0.1174, Pos QTY: 53.212463429, Rec Date: 2025-12-18</t>
  </si>
  <si>
    <t>DIV tax withholding on $5.21 at 15% for tax country THA; w8w9: w8</t>
  </si>
  <si>
    <t>Cash DIV @ 0.4345, Pos QTY: 12, Rec Date: 2025-12-18</t>
  </si>
  <si>
    <t>Cash DIV @ 0.144482, Pos QTY: 51.233788026, Rec Date: 2025-12-18</t>
  </si>
  <si>
    <t>DIV tax withholding on $7.4 at 15% for tax country THA; w8w9: w8</t>
  </si>
  <si>
    <t>12/24/2025</t>
  </si>
  <si>
    <t>Cash DIV @ 0.202629, Pos QTY: 15.563871869, Rec Date: 2025-12-19</t>
  </si>
  <si>
    <t>Cash DIV @ 0.356894, Pos QTY: 58.920814187, Rec Date: 2025-12-19</t>
  </si>
  <si>
    <t>DIV tax withholding on $21.03 at 15% for tax country THA; w8w9: w8</t>
  </si>
  <si>
    <t>DIV tax withholding on $14.78 at 15% for tax country THA; w8w9: w8</t>
  </si>
  <si>
    <t>Cash DIV @ 0.323046, Pos QTY: 45.747440206, Rec Date: 2025-12-19</t>
  </si>
  <si>
    <t>12/26/2025</t>
  </si>
  <si>
    <t>Cash DIV @ 0.4100614, Pos QTY: 12.949836352, Rec Date: 2025-12-23</t>
  </si>
  <si>
    <t>DIV tax withholding on $8.14 at 15% for tax country THA; w8w9: w8</t>
  </si>
  <si>
    <t>Cash DIV @ 0.09723, Pos QTY: 83.729553211, Rec Date: 2025-12-22</t>
  </si>
  <si>
    <t>DIV tax withholding on $5.66 at 15% for tax country THA; w8w9: w8</t>
  </si>
  <si>
    <t>Cash DIV @ 0.09614, Pos QTY: 58.844864151, Rec Date: 2025-12-22</t>
  </si>
  <si>
    <t>Cash DIV @ 0.0944, Pos QTY: 32.707712826, Rec Date: 2025-12-24</t>
  </si>
  <si>
    <t>DIV tax withholding on $3.09 at 15% for tax country THA; w8w9: w8</t>
  </si>
  <si>
    <t>Cash DIV @ 0.5106, Pos QTY: 11.85548324, Rec Date: 2025-12-26</t>
  </si>
  <si>
    <t>Cash DIV @ 0.0751, Pos QTY: 22.895187904, Rec Date: 2025-12-26</t>
  </si>
  <si>
    <t>DIV tax withholding on $1.72 at 15% for tax country THA; w8w9: w8</t>
  </si>
  <si>
    <t>Cash DIV @ 0.0869, Pos QTY: 74, Rec Date: 2025-12-26</t>
  </si>
  <si>
    <t>DIV tax withholding on $6.43 at 15% for tax country THA; w8w9: w8</t>
  </si>
  <si>
    <t>Cash DIV @ 0.24557, Pos QTY: 57.027593402, Rec Date: 2025-12-22</t>
  </si>
  <si>
    <t>DIV tax withholding on $14 at 15% for tax country THA; w8w9: w8</t>
  </si>
  <si>
    <t>DIV tax withholding on $2.04 at 15% for tax country THA; w8w9: w8</t>
  </si>
  <si>
    <t>Cash DIV @ 0.284766, Pos QTY: 7.167690777, Rec Date: 2025-12-22</t>
  </si>
  <si>
    <t>DIV tax withholding on $0.49 at 15% for tax country THA; w8w9: w8</t>
  </si>
  <si>
    <t>Cash DIV @ 0.17, Pos QTY: 2.861203141, Rec Date: 2025-12-22</t>
  </si>
  <si>
    <t>DIV tax withholding on $6.15 at 15% for tax country THA; w8w9: w8</t>
  </si>
  <si>
    <t>Cash DIV @ 0.1156, Pos QTY: 53.212463429, Rec Date: 2025-12-26</t>
  </si>
  <si>
    <t>DIV tax withholding on $11.91 at 15% for tax country THA; w8w9: w8</t>
  </si>
  <si>
    <t>Cash DIV @ 0.9928, Pos QTY: 12, Rec Date: 2025-12-26</t>
  </si>
  <si>
    <t>DIV tax withholding on $5.32 at 15% for tax country THA; w8w9: w8</t>
  </si>
  <si>
    <t>Cash DIV @ 0.494, Pos QTY: 10.759141935, Rec Date: 2025-12-26</t>
  </si>
  <si>
    <t>12/31/2025</t>
  </si>
  <si>
    <t>DIV tax withholding on $0.66 at 15% for tax country THA; w8w9: w8</t>
  </si>
  <si>
    <t>Cash DIV @ 0.2084, Pos QTY: 3.177861322, Rec Date: 2025-12-12</t>
  </si>
  <si>
    <t>Cash DIV @ 0.1017, Pos QTY: 127.519579225, Rec Date: 2025-12-29</t>
  </si>
  <si>
    <t>DIV tax withholding on $12.97 at 15% for tax country THA; w8w9: w8</t>
  </si>
  <si>
    <t>DIV tax withholding on $14.56 at 15% for tax country THA; w8w9: w8</t>
  </si>
  <si>
    <t>Cash DIV @ 0.336341, Pos QTY: 43.278305417, Rec Date: 2025-12-30</t>
  </si>
  <si>
    <t>Cash DIV @ 0.155, Pos QTY: 27, Rec Date: 2025-12-09</t>
  </si>
  <si>
    <t>Cash DIV @ 0.619096, Pos QTY: 43.278305417, Rec Date: 2025-12-30</t>
  </si>
  <si>
    <t>DIV tax withholding on $26.79 at 15% for tax country THA; w8w9: w8</t>
  </si>
  <si>
    <t>Cash DIV @ 0.282754, Pos QTY: 43.278305417, Rec Date: 2025-12-30</t>
  </si>
  <si>
    <t>DIV tax withholding on $12.24 at 15% for tax country THA; w8w9: w8</t>
  </si>
  <si>
    <t>DIV tax withholding on $3.47 at 15% for tax country THA; w8w9: w8</t>
  </si>
  <si>
    <t>Cash DIV @ 0.106, Pos QTY: 32.707712826, Rec Date: 2025-12-31</t>
  </si>
  <si>
    <t>DIV tax withholding on $3.51 at 15% for tax country THA; w8w9: w8</t>
  </si>
  <si>
    <t>Cash DIV @ 0.1625951, Pos QTY: 21.603664299, Rec Date: 2025-12-29</t>
  </si>
  <si>
    <t>Cash DIV @ 0.41771, Pos QTY: 57, Rec Date: 2025-12-30</t>
  </si>
  <si>
    <t>Cash DIV @ 0.0846, Pos QTY: 74, Rec Date: 2026-01-02</t>
  </si>
  <si>
    <t>Cash DIV @ 0.4091, Pos QTY: 11.85548324, Rec Date: 2026-01-02</t>
  </si>
  <si>
    <t>DIV tax withholding on $4.85 at 15% for tax country THA; w8w9: w8</t>
  </si>
  <si>
    <t>Cash DIV @ 0.1435, Pos QTY: 53.212463429, Rec Date: 2026-01-02</t>
  </si>
  <si>
    <t>Cash DIV @ 0.513, Pos QTY: 12, Rec Date: 2026-01-02</t>
  </si>
  <si>
    <t>Cash DIV @ 0.5761, Pos QTY: 10.249357831, Rec Date: 2025-12-31</t>
  </si>
  <si>
    <t>DIV tax withholding on $5.9 at 15% for tax country THA; w8w9: w8</t>
  </si>
  <si>
    <t>Cash DIV @ 0.0612, Pos QTY: 22.895187904, Rec Date: 2026-01-02</t>
  </si>
  <si>
    <t>DIV tax withholding on $1.4 at 15% for tax country THA; w8w9: w8</t>
  </si>
  <si>
    <t>Cash DIV @ 0.4342, Pos QTY: 10.759141935, Rec Date: 2026-01-02</t>
  </si>
  <si>
    <t>01/07/2026</t>
  </si>
  <si>
    <t>DIV tax withholding on $4.62 at 15% for tax country THA; w8w9: w8</t>
  </si>
  <si>
    <t>DIV tax withholding on $0.26 at 15% for tax country THA; w8w9: w8</t>
  </si>
  <si>
    <t>Cash DIV @ 0.045113, Pos QTY: 5.744288627, Rec Date: 2025-12-30</t>
  </si>
  <si>
    <t>Cash DIV @ 0.19, Pos QTY: 24.341522361, Rec Date: 2025-12-30</t>
  </si>
  <si>
    <t>Cash DIV @ 0.088, Pos QTY: 32.707712826, Rec Date: 2026-01-07</t>
  </si>
  <si>
    <t>Cash DIV @ 0.628382, Pos QTY: 1.061371047, Rec Date: 2025-12-11</t>
  </si>
  <si>
    <t>Cash DIV @ 0.4091, Pos QTY: 10.759141935, Rec Date: 2026-01-08</t>
  </si>
  <si>
    <t>DIV tax withholding on $4.4 at 15% for tax country THA; w8w9: w8</t>
  </si>
  <si>
    <t>Cash DIV @ 0.0642, Pos QTY: 22.895187904, Rec Date: 2026-01-08</t>
  </si>
  <si>
    <t>Cash DIV @ 0.0799, Pos QTY: 77, Rec Date: 2026-01-08</t>
  </si>
  <si>
    <t>DIV tax withholding on $4.44 at 15% for tax country THA; w8w9: w8</t>
  </si>
  <si>
    <t>Cash DIV @ 0.3741, Pos QTY: 11.85548324, Rec Date: 2026-01-08</t>
  </si>
  <si>
    <t>Cash DIV @ 0.1054, Pos QTY: 53.212463429, Rec Date: 2026-01-08</t>
  </si>
  <si>
    <t>Cash DIV @ 0.4508, Pos QTY: 12, Rec Date: 2026-01-08</t>
  </si>
  <si>
    <t>01/12/2026</t>
  </si>
  <si>
    <t>Cash DIV @ 0.07, Pos QTY: 34, Rec Date: 2025-12-31</t>
  </si>
  <si>
    <t>01/15/2026</t>
  </si>
  <si>
    <t>Cash DIV @ 0.5, Pos QTY: 26, Rec Date: 2026-01-14</t>
  </si>
  <si>
    <t>DIV tax withholding on $13 at 15% for tax country THA; w8w9: w8</t>
  </si>
  <si>
    <t>DIV tax withholding on $9.5 at 15% for tax country THA; w8w9: w8</t>
  </si>
  <si>
    <t>Cash DIV @ 0.25, Pos QTY: 38, Rec Date: 2026-01-14</t>
  </si>
  <si>
    <t>Cash DIV @ 0.27, Pos QTY: 7.007799536, Rec Date: 2025-12-31</t>
  </si>
  <si>
    <t>DIV tax withholding on $2.67 at 15% for tax country THA; w8w9: w8</t>
  </si>
  <si>
    <t>Cash DIV @ 0.0816, Pos QTY: 32.707712826, Rec Date: 2026-01-14</t>
  </si>
  <si>
    <t>DIV tax withholding on $4.27 at 15% for tax country THA; w8w9: w8</t>
  </si>
  <si>
    <t>Cash DIV @ 0.3965, Pos QTY: 10.759141935, Rec Date: 2026-01-15</t>
  </si>
  <si>
    <t>DIV tax withholding on $1.33 at 15% for tax country THA; w8w9: w8</t>
  </si>
  <si>
    <t>Cash DIV @ 0.0583, Pos QTY: 22.895187904, Rec Date: 2026-01-15</t>
  </si>
  <si>
    <t>Cash DIV @ 0.0981, Pos QTY: 77, Rec Date: 2026-01-15</t>
  </si>
  <si>
    <t>DIV tax withholding on $7.55 at 15% for tax country THA; w8w9: w8</t>
  </si>
  <si>
    <t>DIV tax withholding on $0.2 at 15% for tax country THA; w8w9: w8</t>
  </si>
  <si>
    <t>Cash DIV @ 0.1425, Pos QTY: 1.396400596, Rec Date: 2025-12-19</t>
  </si>
  <si>
    <t>Cash DIV @ 0.4137, Pos QTY: 11.85548324, Rec Date: 2026-01-15</t>
  </si>
  <si>
    <t>DIV tax withholding on $4.9 at 15% for tax country THA; w8w9: w8</t>
  </si>
  <si>
    <t>DIV tax withholding on $5.06 at 15% for tax country THA; w8w9: w8</t>
  </si>
  <si>
    <t>Cash DIV @ 0.095, Pos QTY: 53.212463429, Rec Date: 2026-01-15</t>
  </si>
  <si>
    <t>DIV tax withholding on $5.78 at 15% for tax country THA; w8w9: w8</t>
  </si>
  <si>
    <t>Cash DIV @ 0.413, Pos QTY: 14, Rec Date: 2026-01-15</t>
  </si>
  <si>
    <t>01/22/2026</t>
  </si>
  <si>
    <t>Cash DIV @ 0.0824, Pos QTY: 32.707712826, Rec Date: 2026-01-21</t>
  </si>
  <si>
    <t>01/23/2026</t>
  </si>
  <si>
    <t>DIV tax withholding on $2.39 at 15% for tax country THA; w8w9: w8</t>
  </si>
  <si>
    <t>Cash DIV @ 0.2219, Pos QTY: 10.759141935, Rec Date: 2026-01-22</t>
  </si>
  <si>
    <t>Cash DIV @ 0.0467, Pos QTY: 22.895187904, Rec Date: 2026-01-22</t>
  </si>
  <si>
    <t>DIV tax withholding on $8.1 at 15% for tax country THA; w8w9: w8</t>
  </si>
  <si>
    <t>Cash DIV @ 0.1052, Pos QTY: 77, Rec Date: 2026-01-22</t>
  </si>
  <si>
    <t>Cash DIV @ 0.10495, Pos QTY: 89.584246946, Rec Date: 2026-01-20</t>
  </si>
  <si>
    <t>DIV tax withholding on $9.4 at 15% for tax country THA; w8w9: w8</t>
  </si>
  <si>
    <t>Cash DIV @ 0.43, Pos QTY: 11.85548324, Rec Date: 2026-01-22</t>
  </si>
  <si>
    <t>DIV tax withholding on $5.1 at 15% for tax country THA; w8w9: w8</t>
  </si>
  <si>
    <t>Cash DIV @ 0.0848, Pos QTY: 53.212463429, Rec Date: 2026-01-22</t>
  </si>
  <si>
    <t>DIV tax withholding on $4.51 at 15% for tax country THA; w8w9: w8</t>
  </si>
  <si>
    <t>Cash DIV @ 0.3791, Pos QTY: 14, Rec Date: 2026-01-22</t>
  </si>
  <si>
    <t>Cash DIV @ 0.09978, Pos QTY: 60.834660069, Rec Date: 2026-01-20</t>
  </si>
  <si>
    <t>DIV tax withholding on $6.07 at 15% for tax country THA; w8w9: w8</t>
  </si>
  <si>
    <t>01/26/2026</t>
  </si>
  <si>
    <t>Cash DIV @ 0.1610759, Pos QTY: 14.644582575, Rec Date: 2026-01-22</t>
  </si>
  <si>
    <t>DIV tax withholding on $0.99 at 15% for tax country THA; w8w9: w8</t>
  </si>
  <si>
    <t>Cash DIV @ 0.1725, Pos QTY: 5.726267836, Rec Date: 2026-01-20</t>
  </si>
  <si>
    <t>01/29/2026</t>
  </si>
  <si>
    <t>DIV tax withholding on $2.71 at 15% for tax country THA; w8w9: w8</t>
  </si>
  <si>
    <t>Cash DIV @ 0.083, Pos QTY: 32.707712826, Rec Date: 2026-01-28</t>
  </si>
  <si>
    <t>01/30/2026</t>
  </si>
  <si>
    <t>Cash DIV @ 0.3089, Pos QTY: 10.759141935, Rec Date: 2026-01-29</t>
  </si>
  <si>
    <t>DIV tax withholding on $3.32 at 15% for tax country THA; w8w9: w8</t>
  </si>
  <si>
    <t>DIV tax withholding on $1.44 at 15% for tax country THA; w8w9: w8</t>
  </si>
  <si>
    <t>Cash DIV @ 0.0627, Pos QTY: 22.895187904, Rec Date: 2026-01-29</t>
  </si>
  <si>
    <t>Cash DIV @ 0.07, Pos QTY: 34, Rec Date: 2026-01-23</t>
  </si>
  <si>
    <t>Cash DIV @ 0.1032, Pos QTY: 77, Rec Date: 2026-01-29</t>
  </si>
  <si>
    <t>DIV tax withholding on $29.55 at 15% for tax country THA; w8w9: w8</t>
  </si>
  <si>
    <t>Cash DIV @ 0.635437, Pos QTY: 46.50767862, Rec Date: 2026-01-29</t>
  </si>
  <si>
    <t>DIV tax withholding on $4.42 at 15% for tax country THA; w8w9: w8</t>
  </si>
  <si>
    <t>Cash DIV @ 0.3725, Pos QTY: 11.85548324, Rec Date: 2026-01-29</t>
  </si>
  <si>
    <t>Cash DIV @ 0.1076, Pos QTY: 53.212463429, Rec Date: 2026-01-29</t>
  </si>
  <si>
    <t>DIV tax withholding on $5.73 at 15% for tax country THA; w8w9: w8</t>
  </si>
  <si>
    <t>Cash DIV @ 0.3688, Pos QTY: 14, Rec Date: 2026-01-29</t>
  </si>
  <si>
    <t>Cash DIV @ 0.155, Pos QTY: 27, Rec Date: 2026-01-13</t>
  </si>
  <si>
    <t>02/04/2026</t>
  </si>
  <si>
    <t>Cash DIV @ 0.24072, Pos QTY: 61, Rec Date: 2026-02-02</t>
  </si>
  <si>
    <t>DIV tax withholding on $14.68 at 15% for tax country THA; w8w9: w8</t>
  </si>
  <si>
    <t>DIV tax withholding on $5.56 at 15% for tax country THA; w8w9: w8</t>
  </si>
  <si>
    <t>Cash DIV @ 0.46572, Pos QTY: 11.949109269, Rec Date: 2026-02-02</t>
  </si>
  <si>
    <t>02/05/2026</t>
  </si>
  <si>
    <t>DIV tax withholding on $12.08 at 15% for tax country THA; w8w9: w8</t>
  </si>
  <si>
    <t>Cash DIV @ 0.0947, Pos QTY: 127.519579225, Rec Date: 2026-02-02</t>
  </si>
  <si>
    <t>Cash DIV @ 0.174179, Pos QTY: 17.132472363, Rec Date: 2026-02-02</t>
  </si>
  <si>
    <t>Cash DIV @ 0.247037, Pos QTY: 7.167690777, Rec Date: 2026-01-30</t>
  </si>
  <si>
    <t>DIV tax withholding on $1.77 at 15% for tax country THA; w8w9: w8</t>
  </si>
  <si>
    <t>DIV tax withholding on $10.37 at 15% for tax country THA; w8w9: w8</t>
  </si>
  <si>
    <t>Cash DIV @ 0.181912, Pos QTY: 57.027593402, Rec Date: 2026-01-30</t>
  </si>
  <si>
    <t>DIV tax withholding on $20.15 at 15% for tax country THA; w8w9: w8</t>
  </si>
  <si>
    <t>Cash DIV @ 0.341985, Pos QTY: 58.920814187, Rec Date: 2026-02-02</t>
  </si>
  <si>
    <t>Cash DIV @ 0.309236, Pos QTY: 45.747440206, Rec Date: 2026-02-02</t>
  </si>
  <si>
    <t>DIV tax withholding on $14.15 at 15% for tax country THA; w8w9: w8</t>
  </si>
  <si>
    <t>DIV tax withholding on $7.16 at 15% for tax country THA; w8w9: w8</t>
  </si>
  <si>
    <t>Cash DIV @ 0.13968, Pos QTY: 51.233788026, Rec Date: 2026-02-02</t>
  </si>
  <si>
    <t>Cash DIV @ 0.0821, Pos QTY: 32.707712826, Rec Date: 2026-02-04</t>
  </si>
  <si>
    <t>Cash DIV @ 0.2838, Pos QTY: 10.759141935, Rec Date: 2026-02-05</t>
  </si>
  <si>
    <t>DIV tax withholding on $3.05 at 15% for tax country THA; w8w9: w8</t>
  </si>
  <si>
    <t>Cash DIV @ 0.2473, Pos QTY: 22.895187904, Rec Date: 2026-02-05</t>
  </si>
  <si>
    <t>DIV tax withholding on $8.65 at 15% for tax country THA; w8w9: w8</t>
  </si>
  <si>
    <t>Cash DIV @ 0.1124, Pos QTY: 77, Rec Date: 2026-02-05</t>
  </si>
  <si>
    <t>DIV tax withholding on $3.66 at 15% for tax country THA; w8w9: w8</t>
  </si>
  <si>
    <t>Cash DIV @ 0.3083, Pos QTY: 11.85548324, Rec Date: 2026-02-05</t>
  </si>
  <si>
    <t>Cash DIV @ 0.0939, Pos QTY: 53.212463429, Rec Date: 2026-02-05</t>
  </si>
  <si>
    <t>DIV tax withholding on $5.03 at 15% for tax country THA; w8w9: w8</t>
  </si>
  <si>
    <t>Cash DIV @ 0.3591, Pos QTY: 14, Rec Date: 2026-02-05</t>
  </si>
  <si>
    <t>02/09/2026</t>
  </si>
  <si>
    <t>Cash DIV @ 0.1556931, Pos QTY: 23.859091366, Rec Date: 2026-02-03</t>
  </si>
  <si>
    <t>02/11/2026</t>
  </si>
  <si>
    <t>DIV tax withholding on $5.4 at 15% for tax country THA; w8w9: w8</t>
  </si>
  <si>
    <t>Cash DIV @ 0.19, Pos QTY: 28.440680644, Rec Date: 2026-02-04</t>
  </si>
  <si>
    <t>Cash DIV @ 0.5, Pos QTY: 26, Rec Date: 2026-02-11</t>
  </si>
  <si>
    <t>Cash DIV @ 0.65, Pos QTY: 38, Rec Date: 2026-02-11</t>
  </si>
  <si>
    <t>DIV tax withholding on $24.7 at 15% for tax country THA; w8w9: w8</t>
  </si>
  <si>
    <t>DIV tax withholding on $2.43 at 15% for tax country THA; w8w9: w8</t>
  </si>
  <si>
    <t>Cash DIV @ 0.0743, Pos QTY: 32.707712826, Rec Date: 2026-02-11</t>
  </si>
  <si>
    <t>02/13/2026</t>
  </si>
  <si>
    <t>DIV tax withholding on $5.38 at 15% for tax country THA; w8w9: w8</t>
  </si>
  <si>
    <t>Cash DIV @ 0.3845, Pos QTY: 14, Rec Date: 2026-02-12</t>
  </si>
  <si>
    <t>Cash DIV @ 0.2556, Pos QTY: 10.759141935, Rec Date: 2026-02-12</t>
  </si>
  <si>
    <t>Cash DIV @ 0.0776, Pos QTY: 22.895187904, Rec Date: 2026-02-12</t>
  </si>
  <si>
    <t>Cash DIV @ 0.0958, Pos QTY: 77, Rec Date: 2026-02-12</t>
  </si>
  <si>
    <t>DIV tax withholding on $7.38 at 15% for tax country THA; w8w9: w8</t>
  </si>
  <si>
    <t>DIV tax withholding on $3.53 at 15% for tax country THA; w8w9: w8</t>
  </si>
  <si>
    <t>Cash DIV @ 0.298, Pos QTY: 11.85548324, Rec Date: 2026-02-12</t>
  </si>
  <si>
    <t>Cash DIV @ 0.1057, Pos QTY: 53.212463429, Rec Date: 2026-02-12</t>
  </si>
  <si>
    <t>Cash DIV @ 0.27, Pos QTY: 7.007799536, Rec Date: 2026-01-30</t>
  </si>
  <si>
    <t>Cash DIV @ 0.0778, Pos QTY: 32.707712826, Rec Date: 2026-02-18</t>
  </si>
  <si>
    <t>02/20/2026</t>
  </si>
  <si>
    <t>Cash DIV @ 0.2994, Pos QTY: 10.759141935, Rec Date: 2026-02-19</t>
  </si>
  <si>
    <t>DIV tax withholding on $3.22 at 15% for tax country THA; w8w9: w8</t>
  </si>
  <si>
    <t>DIV tax withholding on $1.86 at 15% for tax country THA; w8w9: w8</t>
  </si>
  <si>
    <t>Cash DIV @ 0.0812, Pos QTY: 22.895187904, Rec Date: 2026-02-19</t>
  </si>
  <si>
    <t>Cash DIV @ 0.1017, Pos QTY: 77, Rec Date: 2026-02-19</t>
  </si>
  <si>
    <t>DIV tax withholding on $7.83 at 15% for tax country THA; w8w9: w8</t>
  </si>
  <si>
    <t>DIV tax withholding on $4.28 at 15% for tax country THA; w8w9: w8</t>
  </si>
  <si>
    <t>Cash DIV @ 0.3607, Pos QTY: 11.85548324, Rec Date: 2026-02-19</t>
  </si>
  <si>
    <t>Cash DIV @ 0.0944, Pos QTY: 53.212463429, Rec Date: 2026-02-19</t>
  </si>
  <si>
    <t>DIV tax withholding on $5.02 at 15% for tax country THA; w8w9: w8</t>
  </si>
  <si>
    <t>Cash DIV @ 0.3865, Pos QTY: 14, Rec Date: 2026-02-19</t>
  </si>
  <si>
    <t>02/26/2026</t>
  </si>
  <si>
    <t>Cash DIV @ 0.0719, Pos QTY: 32.707712826, Rec Date: 2026-02-25</t>
  </si>
  <si>
    <t>02/27/2026</t>
  </si>
  <si>
    <t>Cash DIV @ 0.068, Pos QTY: 22.895187904, Rec Date: 2026-02-26</t>
  </si>
  <si>
    <t>DIV tax withholding on $1.56 at 15% for tax country THA; w8w9: w8</t>
  </si>
  <si>
    <t>Cash DIV @ 0.07, Pos QTY: 34, Rec Date: 2026-02-20</t>
  </si>
  <si>
    <t>Cash DIV @ 0.2899909, Pos QTY: 14.644582575, Rec Date: 2026-02-25</t>
  </si>
  <si>
    <t>Cash DIV @ 0.1048, Pos QTY: 77, Rec Date: 2026-02-26</t>
  </si>
  <si>
    <t>DIV tax withholding on $9.32 at 15% for tax country THA; w8w9: w8</t>
  </si>
  <si>
    <t>Cash DIV @ 0.10399, Pos QTY: 89.584246946, Rec Date: 2026-02-23</t>
  </si>
  <si>
    <t>Cash DIV @ 0.583661, Pos QTY: 46.50767862, Rec Date: 2026-02-26</t>
  </si>
  <si>
    <t>DIV tax withholding on $27.14 at 15% for tax country THA; w8w9: w8</t>
  </si>
  <si>
    <t>Cash DIV @ 0.1725, Pos QTY: 5.726267836, Rec Date: 2026-02-20</t>
  </si>
  <si>
    <t>Cash DIV @ 0.155, Pos QTY: 27, Rec Date: 2026-02-10</t>
  </si>
  <si>
    <t>Cash DIV @ 0.09681, Pos QTY: 60.834660069, Rec Date: 2026-02-23</t>
  </si>
  <si>
    <t>Cash DIV @ 0.3177, Pos QTY: 10.759141935, Rec Date: 2026-02-26</t>
  </si>
  <si>
    <t>DIV tax withholding on $3.42 at 15% for tax country THA; w8w9: w8</t>
  </si>
  <si>
    <t>Cash DIV @ 0.1151, Pos QTY: 53.212463429, Rec Date: 2026-02-26</t>
  </si>
  <si>
    <t>DIV tax withholding on $6.12 at 15% for tax country THA; w8w9: w8</t>
  </si>
  <si>
    <t>Cash DIV @ 0.3017, Pos QTY: 11.85548324, Rec Date: 2026-02-26</t>
  </si>
  <si>
    <t>Cash DIV @ 0.3933, Pos QTY: 14, Rec Date: 2026-02-26</t>
  </si>
  <si>
    <t>DIV tax withholding on $5.51 at 15% for tax country THA; w8w9: w8</t>
  </si>
  <si>
    <t>Cash DIV @ 0.27, Pos QTY: 9.586161604, Rec Date: 2026-02-11</t>
  </si>
  <si>
    <t>Cash DIV @ 0.67, Pos QTY: 0.448675096, Rec Date: 2026-02-10</t>
  </si>
  <si>
    <t>03/04/2026</t>
  </si>
  <si>
    <t>DIV tax withholding on $7.14 at 15% for tax country THA; w8w9: w8</t>
  </si>
  <si>
    <t>Cash DIV @ 0.509, Pos QTY: 14.036122595, Rec Date: 2026-03-02</t>
  </si>
  <si>
    <t>Cash DIV @ 0.22551, Pos QTY: 65, Rec Date: 2026-03-02</t>
  </si>
  <si>
    <t>Cash DIV @ 0.193417, Pos QTY: 58.999624689, Rec Date: 2026-02-27</t>
  </si>
  <si>
    <t>Cash DIV @ 0.247942, Pos QTY: 9.255977316, Rec Date: 2026-02-27</t>
  </si>
  <si>
    <t>Cash DIV @ 0.304438, Pos QTY: 59.283830123, Rec Date: 2026-03-02</t>
  </si>
  <si>
    <t>DIV tax withholding on $18.05 at 15% for tax country THA; w8w9: w8</t>
  </si>
  <si>
    <t>Cash DIV @ 0.27239, Pos QTY: 46.747440206, Rec Date: 2026-03-02</t>
  </si>
  <si>
    <t>DIV tax withholding on $12.73 at 15% for tax country THA; w8w9: w8</t>
  </si>
  <si>
    <t>Cash DIV @ 0.144011, Pos QTY: 55.18858604, Rec Date: 2026-03-02</t>
  </si>
  <si>
    <t>DIV tax withholding on $2.63 at 15% for tax country THA; w8w9: w8</t>
  </si>
  <si>
    <t>Cash DIV @ 0.0805, Pos QTY: 32.707712826, Rec Date: 2026-03-04</t>
  </si>
  <si>
    <t>Cash DIV @ 0.163755, Pos QTY: 18.700764854, Rec Date: 2026-03-02</t>
  </si>
  <si>
    <t>DIV tax withholding on $11.37 at 15% for tax country THA; w8w9: w8</t>
  </si>
  <si>
    <t>Cash DIV @ 0.086, Pos QTY: 132.213212917, Rec Date: 2026-03-02</t>
  </si>
  <si>
    <t>DIV tax withholding on $11.41 at 15% for tax country THA; w8w9: w8</t>
  </si>
  <si>
    <t>DIV tax withholding on $7.93 at 15% for tax country THA; w8w9: w8</t>
  </si>
  <si>
    <t>Cash DIV @ 0.3115, Pos QTY: 10.759141935, Rec Date: 2026-03-05</t>
  </si>
  <si>
    <t>DIV tax withholding on $3.35 at 15% for tax country THA; w8w9: w8</t>
  </si>
  <si>
    <t>Cash DIV @ 0.076, Pos QTY: 22.895187904, Rec Date: 2026-03-05</t>
  </si>
  <si>
    <t>Cash DIV @ 0.103, Pos QTY: 77, Rec Date: 2026-03-05</t>
  </si>
  <si>
    <t>DIV tax withholding on $4.15 at 15% for tax country THA; w8w9: w8</t>
  </si>
  <si>
    <t>Cash DIV @ 0.35, Pos QTY: 11.85548324, Rec Date: 2026-03-05</t>
  </si>
  <si>
    <t>DIV tax withholding on $6.18 at 15% for tax country THA; w8w9: w8</t>
  </si>
  <si>
    <t>Cash DIV @ 0.1162, Pos QTY: 53.212463429, Rec Date: 2026-03-05</t>
  </si>
  <si>
    <t>Cash DIV @ 0.4781, Pos QTY: 14, Rec Date: 2026-03-05</t>
  </si>
  <si>
    <t>DIV tax withholding on $6.69 at 15% for tax country THA; w8w9: w8</t>
  </si>
  <si>
    <t>03/09/2026</t>
  </si>
  <si>
    <t>Cash DIV @ 0.1708053, Pos QTY: 26.867887252, Rec Date: 2026-03-03</t>
  </si>
  <si>
    <t>03/11/2026</t>
  </si>
  <si>
    <t>DIV tax withholding on $6.35 at 15% for tax country THA; w8w9: w8</t>
  </si>
  <si>
    <t>Cash DIV @ 0.197, Pos QTY: 32.252018972, Rec Date: 2026-03-04</t>
  </si>
  <si>
    <t>03/12/2026</t>
  </si>
  <si>
    <t>DIV tax withholding on $9.1 at 15% for tax country THA; w8w9: w8</t>
  </si>
  <si>
    <t>Cash DIV @ 0.35, Pos QTY: 26, Rec Date: 2026-03-11</t>
  </si>
  <si>
    <t>Cash DIV @ 0.2, Pos QTY: 38, Rec Date: 2026-03-11</t>
  </si>
  <si>
    <t>DIV tax withholding on $7.6 at 15% for tax country THA; w8w9: w8</t>
  </si>
  <si>
    <t>Cash DIV @ 0.0827, Pos QTY: 32.707712826, Rec Date: 2026-03-11</t>
  </si>
  <si>
    <t>DIV tax withholding on $6.37 at 15% for tax country THA; w8w9: w8</t>
  </si>
  <si>
    <t>DIV tax withholding on $6.39 at 15% for tax country THA; w8w9: w8</t>
  </si>
  <si>
    <t>Cash DIV @ 0.5942, Pos QTY: 10.759141935, Rec Date: 2026-03-12</t>
  </si>
  <si>
    <t>Cash DIV @ 0.0754, Pos QTY: 22.895187904, Rec Date: 2026-03-12</t>
  </si>
  <si>
    <t>DIV tax withholding on $6.71 at 15% for tax country THA; w8w9: w8</t>
  </si>
  <si>
    <t>Cash DIV @ 0.0871, Pos QTY: 77, Rec Date: 2026-03-12</t>
  </si>
  <si>
    <t>DIV tax withholding on $4.56 at 15% for tax country THA; w8w9: w8</t>
  </si>
  <si>
    <t>Cash DIV @ 0.3847, Pos QTY: 11.85548324, Rec Date: 2026-03-12</t>
  </si>
  <si>
    <t>Cash DIV @ 0.1197, Pos QTY: 53.212463429, Rec Date: 2026-03-12</t>
  </si>
  <si>
    <t>Cash DIV @ 0.27, Pos QTY: 8.232273688, Rec Date: 2026-02-27</t>
  </si>
  <si>
    <t>DIV tax withholding on $2.22 at 15% for tax country THA; w8w9: w8</t>
  </si>
  <si>
    <t>Cash DIV @ 0.7999, Pos QTY: 14, Rec Date: 2026-03-12</t>
  </si>
  <si>
    <t>DIV tax withholding on $11.2 at 15% for tax country THA; w8w9: w8</t>
  </si>
  <si>
    <t>03/19/2026</t>
  </si>
  <si>
    <t>Cash DIV @ 0.0824, Pos QTY: 32.707712826, Rec Date: 2026-03-18</t>
  </si>
  <si>
    <t>03/20/2026</t>
  </si>
  <si>
    <t>Cash DIV @ 0.6138, Pos QTY: 10.759141935, Rec Date: 2026-03-19</t>
  </si>
  <si>
    <t>Cash DIV @ 0.103895, Pos QTY: 9.509894281, Rec Date: 2026-03-17</t>
  </si>
  <si>
    <t>DIV tax withholding on $1.67 at 15% for tax country THA; w8w9: w8</t>
  </si>
  <si>
    <t>Cash DIV @ 0.073, Pos QTY: 22.895187904, Rec Date: 2026-03-19</t>
  </si>
  <si>
    <t>DIV tax withholding on $7.11 at 15% for tax country THA; w8w9: w8</t>
  </si>
  <si>
    <t>Cash DIV @ 0.0846, Pos QTY: 84, Rec Date: 2026-03-19</t>
  </si>
  <si>
    <t>DIV tax withholding on $5.2 at 15% for tax country THA; w8w9: w8</t>
  </si>
  <si>
    <t>DIV tax withholding on $7.09 at 15% for tax country THA; w8w9: w8</t>
  </si>
  <si>
    <t>Cash DIV @ 0.1332, Pos QTY: 53.212463429, Rec Date: 2026-03-19</t>
  </si>
  <si>
    <t>Cash DIV @ 0.8018, Pos QTY: 14, Rec Date: 2026-03-19</t>
  </si>
  <si>
    <t>DIV tax withholding on $11.23 at 15% for tax country THA; w8w9: w8</t>
  </si>
  <si>
    <t>Cash DIV @ 0.4383, Pos QTY: 11.85548324, Rec Date: 2026-03-19</t>
  </si>
  <si>
    <t>DIV tax withholding on $6.6 at 15% for tax country THA; w8w9: w8</t>
  </si>
  <si>
    <t>DIV tax withholding on $1.1 at 15% for tax country THA; w8w9: w8</t>
  </si>
  <si>
    <t>Cash DIV @ 0.0336, Pos QTY: 32.707712826, Rec Date: 2026-03-25</t>
  </si>
  <si>
    <t>03/27/2026</t>
  </si>
  <si>
    <t>Cash DIV @ 0.1725, Pos QTY: 5.726267836, Rec Date: 2026-03-20</t>
  </si>
  <si>
    <t>Cash DIV @ 0.5332, Pos QTY: 10.759141935, Rec Date: 2026-03-26</t>
  </si>
  <si>
    <t>Cash DIV @ 0.0682, Pos QTY: 22.895187904, Rec Date: 2026-03-26</t>
  </si>
  <si>
    <t>Cash DIV @ 0.0818, Pos QTY: 84, Rec Date: 2026-03-26</t>
  </si>
  <si>
    <t>DIV tax withholding on $6.87 at 15% for tax country THA; w8w9: w8</t>
  </si>
  <si>
    <t>DIV tax withholding on $8.92 at 15% for tax country THA; w8w9: w8</t>
  </si>
  <si>
    <t>Cash DIV @ 0.09953, Pos QTY: 89.584246946, Rec Date: 2026-03-23</t>
  </si>
  <si>
    <t>Cash DIV @ 0.3448, Pos QTY: 11.85548324, Rec Date: 2026-03-26</t>
  </si>
  <si>
    <t>DIV tax withholding on $6.36 at 15% for tax country THA; w8w9: w8</t>
  </si>
  <si>
    <t>Cash DIV @ 0.1195, Pos QTY: 53.212463429, Rec Date: 2026-03-26</t>
  </si>
  <si>
    <t>Cash DIV @ 0.4779, Pos QTY: 14, Rec Date: 2026-03-26</t>
  </si>
  <si>
    <t>Cash DIV @ 0.09309, Pos QTY: 60.834660069, Rec Date: 2026-03-23</t>
  </si>
  <si>
    <t>03/30/2026</t>
  </si>
  <si>
    <t>Cash DIV @ 0.2569, Pos QTY: 15.966820527, Rec Date: 2026-03-25</t>
  </si>
  <si>
    <t>DIV tax withholding on $4.1 at 15% for tax country THA; w8w9: w8</t>
  </si>
  <si>
    <t>Cash DIV @ 0.259875, Pos QTY: 14.644582575, Rec Date: 2026-03-26</t>
  </si>
  <si>
    <t>DIV tax withholding on $3.81 at 15% for tax country THA; w8w9: w8</t>
  </si>
  <si>
    <t>Cash DIV @ 0.27, Pos QTY: 2.938912839, Rec Date: 2026-03-16</t>
  </si>
  <si>
    <t>Cash DIV @ 0.0363, Pos QTY: 15.40127006, Rec Date: 2026-03-25</t>
  </si>
  <si>
    <t>DIV tax withholding on $0.56 at 15% for tax country THA; w8w9: w8</t>
  </si>
  <si>
    <t>03/31/2026</t>
  </si>
  <si>
    <t>Cash DIV @ 0.1098, Pos QTY: 3.177861322, Rec Date: 2026-03-26</t>
  </si>
  <si>
    <t>Cash DIV @ 0.155, Pos QTY: 27, Rec Date: 2026-03-10</t>
  </si>
  <si>
    <t>DIV tax withholding on $0.35 at 15% for tax country THA; w8w9: w8</t>
  </si>
  <si>
    <t>Cash DIV @ 0.11, Pos QTY: 8.198003054, Rec Date: 2026-03-13</t>
  </si>
  <si>
    <t>Cash DIV @ 0.53, Pos QTY: 3.147079266, Rec Date: 2026-03-13</t>
  </si>
  <si>
    <t>04/02/2026</t>
  </si>
  <si>
    <t>Cash DIV @ 0.25447, Pos QTY: 67, Rec Date: 2026-03-31</t>
  </si>
  <si>
    <t>DIV tax withholding on $17.05 at 15% for tax country THA; w8w9: w8</t>
  </si>
  <si>
    <t>Cash DIV @ 0.0875, Pos QTY: 32.707712826, Rec Date: 2026-04-01</t>
  </si>
  <si>
    <t>Cash DIV @ 0.0789, Pos QTY: 84, Rec Date: 2026-04-02</t>
  </si>
  <si>
    <t>DIV tax withholding on $6.63 at 15% for tax country THA; w8w9: w8</t>
  </si>
  <si>
    <t>DIV tax withholding on $4.02 at 15% for tax country THA; w8w9: w8</t>
  </si>
  <si>
    <t>Cash DIV @ 0.3137, Pos QTY: 12.799334265, Rec Date: 2026-04-02</t>
  </si>
  <si>
    <t>Cash DIV @ 0.3763, Pos QTY: 11.759141935, Rec Date: 2026-04-02</t>
  </si>
  <si>
    <t>DIV tax withholding on $1.52 at 15% for tax country THA; w8w9: w8</t>
  </si>
  <si>
    <t>Cash DIV @ 0.0662, Pos QTY: 22.895187904, Rec Date: 2026-04-02</t>
  </si>
  <si>
    <t>Cash DIV @ 0.1148, Pos QTY: 60.600207943, Rec Date: 2026-04-02</t>
  </si>
  <si>
    <t>DIV tax withholding on $6.96 at 15% for tax country THA; w8w9: w8</t>
  </si>
  <si>
    <t>DIV tax withholding on $6.3 at 15% for tax country THA; w8w9: w8</t>
  </si>
  <si>
    <t>Cash DIV @ 0.4497, Pos QTY: 14, Rec Date: 2026-04-02</t>
  </si>
  <si>
    <t>Cash DIV @ 0.151206, Pos QTY: 60.665262716, Rec Date: 2026-04-01</t>
  </si>
  <si>
    <t>Cash DIV @ 0.5586, Pos QTY: 17.435021094, Rec Date: 2026-04-01</t>
  </si>
  <si>
    <t>04/07/2026</t>
  </si>
  <si>
    <t>Cash DIV @ 0.179334, Pos QTY: 20.663491912, Rec Date: 2026-04-01</t>
  </si>
  <si>
    <t>DIV tax withholding on $12.64 at 15% for tax country THA; w8w9: w8</t>
  </si>
  <si>
    <t>Cash DIV @ 0.0929, Pos QTY: 136.050720025, Rec Date: 2026-04-01</t>
  </si>
  <si>
    <t>Cash DIV @ 0.202426, Pos QTY: 60.942127865, Rec Date: 2026-03-31</t>
  </si>
  <si>
    <t>DIV tax withholding on $12.34 at 15% for tax country THA; w8w9: w8</t>
  </si>
  <si>
    <t>Cash DIV @ 0.220838, Pos QTY: 10.929160833, Rec Date: 2026-03-31</t>
  </si>
  <si>
    <t>DIV tax withholding on $19.49 at 15% for tax country THA; w8w9: w8</t>
  </si>
  <si>
    <t>Cash DIV @ 0.323916, Pos QTY: 60.162851254, Rec Date: 2026-04-01</t>
  </si>
  <si>
    <t>Cash DIV @ 0.292689, Pos QTY: 47.711521123, Rec Date: 2026-04-01</t>
  </si>
  <si>
    <t>DIV tax withholding on $13.96 at 15% for tax country THA; w8w9: w8</t>
  </si>
  <si>
    <t>04/08/2026</t>
  </si>
  <si>
    <t>DIV tax withholding on $4.89 at 15% for tax country THA; w8w9: w8</t>
  </si>
  <si>
    <t>Cash DIV @ 0.158911, Pos QTY: 30.753350698, Rec Date: 2026-04-02</t>
  </si>
  <si>
    <t>Cash DIV @ 0.0901, Pos QTY: 32.707712826, Rec Date: 2026-04-08</t>
  </si>
  <si>
    <t>DIV tax withholding on $2.95 at 15% for tax country THA; w8w9: w8</t>
  </si>
  <si>
    <t>Cash DIV @ 0.741788, Pos QTY: 1.061371047, Rec Date: 2026-03-17</t>
  </si>
  <si>
    <t>DIV tax withholding on $4.43 at 15% for tax country THA; w8w9: w8</t>
  </si>
  <si>
    <t>Cash DIV @ 0.3767, Pos QTY: 11.759141935, Rec Date: 2026-04-09</t>
  </si>
  <si>
    <t>DIV tax withholding on $1.63 at 15% for tax country THA; w8w9: w8</t>
  </si>
  <si>
    <t>Cash DIV @ 0.0714, Pos QTY: 22.895187904, Rec Date: 2026-04-09</t>
  </si>
  <si>
    <t>DIV tax withholding on $7.17 at 15% for tax country THA; w8w9: w8</t>
  </si>
  <si>
    <t>Cash DIV @ 0.0854, Pos QTY: 84, Rec Date: 2026-04-09</t>
  </si>
  <si>
    <t>Cash DIV @ 0.3051, Pos QTY: 12.799334265, Rec Date: 2026-04-09</t>
  </si>
  <si>
    <t>DIV tax withholding on $3.91 at 15% for tax country THA; w8w9: w8</t>
  </si>
  <si>
    <t>DIV tax withholding on $6.73 at 15% for tax country THA; w8w9: w8</t>
  </si>
  <si>
    <t>Cash DIV @ 0.1111, Pos QTY: 60.600207943, Rec Date: 2026-04-09</t>
  </si>
  <si>
    <t>Cash DIV @ 0.4548, Pos QTY: 14, Rec Date: 2026-04-09</t>
  </si>
  <si>
    <t>Cash DIV @ 0.19, Pos QTY: 36.151224583, Rec Date: 2026-04-06</t>
  </si>
  <si>
    <t>Cash DIV @ 0.2705, Pos QTY: 9.741579895, Rec Date: 2026-03-31</t>
  </si>
  <si>
    <t>04/16/2026</t>
  </si>
  <si>
    <t>Cash DIV @ 0.35, Pos QTY: 26, Rec Date: 2026-04-15</t>
  </si>
  <si>
    <t>Cash DIV @ 0.2, Pos QTY: 40, Rec Date: 2026-04-15</t>
  </si>
  <si>
    <t>DIV tax withholding on $3.01 at 15% for tax country THA; w8w9: w8</t>
  </si>
  <si>
    <t>Cash DIV @ 0.0921, Pos QTY: 32.707712826, Rec Date: 2026-04-15</t>
  </si>
  <si>
    <t>04/17/2026</t>
  </si>
  <si>
    <t>Cash DIV @ 0.3833, Pos QTY: 11.759141935, Rec Date: 2026-04-16</t>
  </si>
  <si>
    <t>Cash DIV @ 0.0923, Pos QTY: 86.718187771, Rec Date: 2026-04-16</t>
  </si>
  <si>
    <t>Cash DIV @ 0.3038, Pos QTY: 13.649461997, Rec Date: 2026-04-16</t>
  </si>
  <si>
    <t>Cash DIV @ 0.1161, Pos QTY: 63.344765488, Rec Date: 2026-04-16</t>
  </si>
  <si>
    <t>Cash DIV @ 0.3556, Pos QTY: 14, Rec Date: 2026-04-16</t>
  </si>
  <si>
    <t>DIV tax withholding on $4.98 at 15% for tax country THA; w8w9: w8</t>
  </si>
  <si>
    <t>Cash DIV @ 0.4161, Pos QTY: 11.759141935, Rec Date: 2026-04-23</t>
  </si>
  <si>
    <t>DIV tax withholding on $10.53 at 15% for tax country THA; w8w9: w8</t>
  </si>
  <si>
    <t>Cash DIV @ 0.1214, Pos QTY: 86.718187771, Rec Date: 2026-04-23</t>
  </si>
  <si>
    <t>DIV tax withholding on $8.89 at 15% for tax country THA; w8w9: w8</t>
  </si>
  <si>
    <t>Cash DIV @ 0.09152, Pos QTY: 97.14694287, Rec Date: 2026-04-20</t>
  </si>
  <si>
    <t>Cash DIV @ 0.5211, Pos QTY: 13.649461997, Rec Date: 2026-04-23</t>
  </si>
  <si>
    <t>DIV tax withholding on $8.87 at 15% for tax country THA; w8w9: w8</t>
  </si>
  <si>
    <t>Cash DIV @ 0.1401, Pos QTY: 63.344765488, Rec Date: 2026-04-23</t>
  </si>
  <si>
    <t>DIV tax withholding on $5.36 at 15% for tax country THA; w8w9: w8</t>
  </si>
  <si>
    <t>Cash DIV @ 0.3832, Pos QTY: 14, Rec Date: 2026-04-23</t>
  </si>
  <si>
    <t>Cash DIV @ 0.08683, Pos QTY: 64.701165969, Rec Date: 2026-04-20</t>
  </si>
  <si>
    <t>DIV tax withholding on $4.12 at 15% for tax country THA; w8w9: w8</t>
  </si>
  <si>
    <t>Cash DIV @ 0.234353, Pos QTY: 17.574664577, Rec Date: 2026-04-23</t>
  </si>
  <si>
    <t>DIV tax withholding on $2.26 at 15% for tax country THA; w8w9: w8</t>
  </si>
  <si>
    <t>Cash DIV @ 0.1725, Pos QTY: 13.097682894, Rec Date: 2026-04-20</t>
  </si>
  <si>
    <t>Cash DIV @ 0.165, Pos QTY: 34.561106842, Rec Date: 2026-04-14</t>
  </si>
  <si>
    <t>REG fee for proceed of $445.55 on 2025-02-10 by 947159514</t>
  </si>
  <si>
    <t>TAF fee for proceed of 9.02418951 shares (2 trades) on 2025-02-10 by 947159514</t>
  </si>
  <si>
    <t>REG fee for proceed of $84.66 on 2025-04-07 by 947159514</t>
  </si>
  <si>
    <t>TAF fee for proceed of 1.802738992 shares (2 trades) on 2025-04-07 by 947159514</t>
  </si>
  <si>
    <t>REG fee for proceed of $878.6 on 2025-04-21 by 947159514</t>
  </si>
  <si>
    <t>TAF fee for proceed of 58.138237982 shares (2 trades) on 2025-04-21 by 947159514</t>
  </si>
  <si>
    <t>TAF fee for proceed of 55 shares (1 trades) on 2025-05-16 by 947159514</t>
  </si>
  <si>
    <t>CAT fee for proceed of 1 trades on 2025-06-10 by 947159514</t>
  </si>
  <si>
    <t>CAT fee for proceed of 1 trades on 2025-06-11 by 947159514</t>
  </si>
  <si>
    <t>CAT fee for proceed of 1 trades on 2025-06-12 by 947159514</t>
  </si>
  <si>
    <t>CAT fee for proceed of 9 trades on 2025-06-13 by 947159514</t>
  </si>
  <si>
    <t>TAF fee for proceed of 31 shares (2 trades) on 2025-06-13 by 947159514</t>
  </si>
  <si>
    <t>CAT fee for proceed of 2 trades on 2025-06-16 by 947159514</t>
  </si>
  <si>
    <t>TAF fee for proceed of 4 shares (1 trades) on 2025-06-16 by 947159514</t>
  </si>
  <si>
    <t>CAT fee for proceed of 1 trades on 2025-06-17 by 947159514</t>
  </si>
  <si>
    <t>CAT fee for proceed of 2 trades on 2025-06-18 by 947159514</t>
  </si>
  <si>
    <t>CAT fee for proceed of 15 trades on 2025-06-23 by 947159514</t>
  </si>
  <si>
    <t>CAT fee for proceed of 1 trades on 2025-06-25 by 947159514</t>
  </si>
  <si>
    <t>CAT fee for proceed of 4 trades on 2025-06-27 by 947159514</t>
  </si>
  <si>
    <t>TAF fee for proceed of 1.667594964 shares (2 trades) on 2025-06-27 by 947159514</t>
  </si>
  <si>
    <t>TAF fee for proceed of 39.418700619 shares (2 trades) on 2025-07-08 by 947159514</t>
  </si>
  <si>
    <t>TAF fee for proceed of 23.55740947 shares (4 trades) on 2025-07-14 by 947159514</t>
  </si>
  <si>
    <t>TAF fee for proceed of 6.282508985 shares (4 trades) on 2025-07-15 by 947159514</t>
  </si>
  <si>
    <t>TAF fee for proceed of 0.861870234 shares (2 trades) on 2025-07-17 by 947159514</t>
  </si>
  <si>
    <t>TAF fee for proceed of 1 shares (1 trades) on 2025-07-18 by 947159514</t>
  </si>
  <si>
    <t>TAF fee for proceed of 0.444837214 shares (1 trades) on 2025-07-21 by 947159514</t>
  </si>
  <si>
    <t>TAF fee for proceed of 0.513106047 shares (1 trades) on 2025-07-22 by 947159514</t>
  </si>
  <si>
    <t>TAF fee for proceed of 5.251529871 shares (4 trades) on 2025-07-24 by 947159514</t>
  </si>
  <si>
    <t>TAF fee for proceed of 5.69779134 shares (3 trades) on 2025-07-25 by 947159514</t>
  </si>
  <si>
    <t>TAF fee for proceed of 15.438498796 shares (5 trades) on 2025-07-28 by 947159514</t>
  </si>
  <si>
    <t>TAF fee for proceed of 44.069258476 shares (6 trades) on 2025-07-29 by 947159514</t>
  </si>
  <si>
    <t>TAF fee for proceed of 21.703285417 shares (7 trades) on 2025-07-30 by 947159514</t>
  </si>
  <si>
    <t>TAF fee for proceed of 7 shares (1 trades) on 2025-07-31 by 947159514</t>
  </si>
  <si>
    <t>TAF fee for proceed of 19.660723401 shares (5 trades) on 2025-08-01 by 947159514</t>
  </si>
  <si>
    <t>TAF fee for proceed of 13.771561367 shares (3 trades) on 2025-08-04 by 947159514</t>
  </si>
  <si>
    <t>TAF fee for proceed of 5.960117123 shares (2 trades) on 2025-08-05 by 947159514</t>
  </si>
  <si>
    <t>TAF fee for proceed of 32.442579154 shares (4 trades) on 2025-08-06 by 947159514</t>
  </si>
  <si>
    <t>TAF fee for proceed of 13 shares (1 trades) on 2025-08-07 by 947159514</t>
  </si>
  <si>
    <t>TAF fee for proceed of 5.894233465 shares (2 trades) on 2025-08-08 by 947159514</t>
  </si>
  <si>
    <t>TAF fee for proceed of 5.364857603 shares (2 trades) on 2025-08-11 by 947159514</t>
  </si>
  <si>
    <t>TAF fee for proceed of 5.785290044 shares (2 trades) on 2025-08-12 by 947159514</t>
  </si>
  <si>
    <t>TAF fee for proceed of 14 shares (1 trades) on 2025-08-13 by 947159514</t>
  </si>
  <si>
    <t>TAF fee for proceed of 17 shares (1 trades) on 2025-08-29 by 947159514</t>
  </si>
  <si>
    <t>ADR Fees - Rate $0.02 per share - Record Date -Aug 27, 2025 - Symbol : ARM</t>
  </si>
  <si>
    <t>TAF fee for proceed of 3.701887278 shares (2 trades) on 2025-10-03 by 947159514</t>
  </si>
  <si>
    <t>TAF fee for proceed of 0.063424902 shares (1 trades) on 2025-10-21 by 947159514</t>
  </si>
  <si>
    <t>OCC Clearing Fee</t>
  </si>
  <si>
    <t>ORF fee for proceed of 1 contracts on 2026-01-13 by 947159514</t>
  </si>
  <si>
    <t>TAF fee for proceed of 1.252405253 shares (2 trades) on 2026-01-16 by 947159514</t>
  </si>
  <si>
    <t>OPT TAF fee for proceed of 1 contracts (1 trades) on 2026-01-27 by 947159514</t>
  </si>
  <si>
    <t>ORF fee for proceed of 1 contracts on 2026-01-27 by 947159514</t>
  </si>
  <si>
    <t>ORF fee for proceed of 1 contracts on 2026-02-02 by 947159514</t>
  </si>
  <si>
    <t>TAF fee for proceed of 47.904079216 shares (4 trades) on 2026-03-02 by 947159514</t>
  </si>
  <si>
    <t>ORF fee for proceed of 1 contracts on 2026-03-03 by 947159514</t>
  </si>
  <si>
    <t>TAF fee for proceed of 43.22627721 shares (5 trades) on 2026-03-03 by 947159514</t>
  </si>
  <si>
    <t>OPT TAF fee for proceed of 1 contracts (1 trades) on 2026-03-17 by 947159514</t>
  </si>
  <si>
    <t>ORF fee for proceed of 1 contracts on 2026-03-17 by 947159514</t>
  </si>
  <si>
    <t>OPT REG fee for proceed of $13 on 2026-04-13 by 947159514</t>
  </si>
  <si>
    <t>OPT TAF fee for proceed of 1 contracts (1 trades) on 2026-04-13 by 947159514</t>
  </si>
  <si>
    <t>ORF fee for proceed of 1 contracts on 2026-04-13 by 947159514</t>
  </si>
  <si>
    <t>REG fee for proceed of $317.16 on 2026-04-13 by 947159514</t>
  </si>
  <si>
    <t>TAF fee for proceed of 18.978027808 shares (6 trades) on 2026-04-13 by 947159514</t>
  </si>
  <si>
    <t>REG fee for proceed of $845.86 on 2026-04-15 by 947159514</t>
  </si>
  <si>
    <t>TAF fee for proceed of 35.401363764 shares (4 trades) on 2026-04-15 by 947159514</t>
  </si>
  <si>
    <t>REG fee for proceed of $278.78 on 2026-04-21 by 947159514</t>
  </si>
  <si>
    <t>TAF fee for proceed of 32.707712826 shares (2 trades) on 2026-04-21 by 947159514</t>
  </si>
  <si>
    <t>REG fee for proceed of $332.27 on 2026-04-24 by 947159514</t>
  </si>
  <si>
    <t>TAF fee for proceed of 11.759141935 shares (2 trades) on 2026-04-24 by 947159514</t>
  </si>
  <si>
    <t>REG fee for proceed of $342.74 on 2026-04-28 by 947159514</t>
  </si>
  <si>
    <t>TAF fee for proceed of 13.649461997 shares (2 trades) on 2026-04-28 by 947159514</t>
  </si>
  <si>
    <t>STKSWI20241101032526417426</t>
  </si>
  <si>
    <t>STKSWI20241101033632417975</t>
  </si>
  <si>
    <t>STKSWI20241125042536876644</t>
  </si>
  <si>
    <t>STKSWI20241127044827937623</t>
  </si>
  <si>
    <t>STKSWI20241220034703511182</t>
  </si>
  <si>
    <t>STKSWI20241220035008511413</t>
  </si>
  <si>
    <t>STKSWI20241223033928553487</t>
  </si>
  <si>
    <t>STKSWI20241223034107553610</t>
  </si>
  <si>
    <t>STKSWI20241231053543777802</t>
  </si>
  <si>
    <t>STKSWI20241231044607776220</t>
  </si>
  <si>
    <t>STKSWI20241231052307777157</t>
  </si>
  <si>
    <t>STKSWI20241231052614777300</t>
  </si>
  <si>
    <t>STKSWI20241231053009777498</t>
  </si>
  <si>
    <t>STKSWI20241231054153778153</t>
  </si>
  <si>
    <t>STKSWI20241231054518778346</t>
  </si>
  <si>
    <t>STKSWI20241231054810778505</t>
  </si>
  <si>
    <t>STKSWI20250114040738165591</t>
  </si>
  <si>
    <t>STKSWI20250114040134165080</t>
  </si>
  <si>
    <t>STKSWI20250117024155255094</t>
  </si>
  <si>
    <t>STKSWI20250117024249255189</t>
  </si>
  <si>
    <t>STKSWI20250117024333255262</t>
  </si>
  <si>
    <t>STKSWI20250122040502364559</t>
  </si>
  <si>
    <t>STKSWI20250124025357423348</t>
  </si>
  <si>
    <t>STKSWI20250127052516523672</t>
  </si>
  <si>
    <t>STKSWI20250128044311599173</t>
  </si>
  <si>
    <t>STKSWI20250131041452762765</t>
  </si>
  <si>
    <t>STKSWI20250131023456748686</t>
  </si>
  <si>
    <t>STKSWI20250131023935749628</t>
  </si>
  <si>
    <t>STKSWI20250131041049762362</t>
  </si>
  <si>
    <t>STKSWI20250203031522861768</t>
  </si>
  <si>
    <t>STKSWI20250203033011865936</t>
  </si>
  <si>
    <t>STKSWI20250203033200866324</t>
  </si>
  <si>
    <t>STKSWI20250203031632862156</t>
  </si>
  <si>
    <t>STKSWI20250203033516866986</t>
  </si>
  <si>
    <t>STKSWI20250203032209863964</t>
  </si>
  <si>
    <t>STKSWI20250203032422864512</t>
  </si>
  <si>
    <t>STKSWI20250203032644865112</t>
  </si>
  <si>
    <t>STKSWI20250203032824865513</t>
  </si>
  <si>
    <t>STKSWI20250204020220887816</t>
  </si>
  <si>
    <t>STKSWI20250210055104104864</t>
  </si>
  <si>
    <t>STKSWI20250210054333104584</t>
  </si>
  <si>
    <t>STKSWI20250226024754574330</t>
  </si>
  <si>
    <t>STKSWI20250303024803783225</t>
  </si>
  <si>
    <t>STKSWI20250303025748786359</t>
  </si>
  <si>
    <t>STKSWI20250303025515785571</t>
  </si>
  <si>
    <t>STKSWI20250303024949783870</t>
  </si>
  <si>
    <t>STKSWI20250303030031787162</t>
  </si>
  <si>
    <t>STKSWI20250303024121780836</t>
  </si>
  <si>
    <t>STKSWI20250303025228784746</t>
  </si>
  <si>
    <t>STKSWI20250307030607979192</t>
  </si>
  <si>
    <t>STKSWI20250401021338588784</t>
  </si>
  <si>
    <t>STKSWI20250401021004588414</t>
  </si>
  <si>
    <t>STKSWI20250401021730589166</t>
  </si>
  <si>
    <t>STKSWI20250401022019589474</t>
  </si>
  <si>
    <t>STKSWI20250401022212589698</t>
  </si>
  <si>
    <t>STKSWI20250401023102590668</t>
  </si>
  <si>
    <t>STKSWI20250401023735591406</t>
  </si>
  <si>
    <t>STKSWI20250401020634588040</t>
  </si>
  <si>
    <t>STKSWI20250401022750590318</t>
  </si>
  <si>
    <t>STKSWI20250416032436054011</t>
  </si>
  <si>
    <t>STKSWI20250422020233151856</t>
  </si>
  <si>
    <t>STKSWI20250502042356453367</t>
  </si>
  <si>
    <t>STKSWI20250527023156069261</t>
  </si>
  <si>
    <t>STKSWI20250527023555069722</t>
  </si>
  <si>
    <t>STKSWI20250527022643068643</t>
  </si>
  <si>
    <t>STKSWI20250527051952079614</t>
  </si>
  <si>
    <t>STKSWI20250527054049080277</t>
  </si>
  <si>
    <t>STKSWI20250602054226290047</t>
  </si>
  <si>
    <t>STKSWI20250602054546290180</t>
  </si>
  <si>
    <t>STKSWI20250602053348289694</t>
  </si>
  <si>
    <t>STKSWI20250602053557289779</t>
  </si>
  <si>
    <t>STKSWI20250602055551290549</t>
  </si>
  <si>
    <t>STKSWI20250602055709290586</t>
  </si>
  <si>
    <t>STKSWI20250602053904289923</t>
  </si>
  <si>
    <t>STKSWI20250623031638902605</t>
  </si>
  <si>
    <t>STKSWI20250623031931902853</t>
  </si>
  <si>
    <t>STKSWI20250623031039902121</t>
  </si>
  <si>
    <t>STKSWI20250623033507904112</t>
  </si>
  <si>
    <t>STKSWI20250623033643904249</t>
  </si>
  <si>
    <t>STKSWI20250623033914904449</t>
  </si>
  <si>
    <t>STKSWI20250623034144904634</t>
  </si>
  <si>
    <t>STKSWI20250623034744905099</t>
  </si>
  <si>
    <t>STKSWI20250623035109905360</t>
  </si>
  <si>
    <t>STKSWI20250623034534904930</t>
  </si>
  <si>
    <t>STKSWI20250623035329905539</t>
  </si>
  <si>
    <t>STKSWI20250625023016984331</t>
  </si>
  <si>
    <t>STKSWI20250702042349332200</t>
  </si>
  <si>
    <t>STKSWI20250702043030332734</t>
  </si>
  <si>
    <t>STKSWI20250702043350332961</t>
  </si>
  <si>
    <t>STKSWI20250702043443333030</t>
  </si>
  <si>
    <t>STKSWI20250702042549332370</t>
  </si>
  <si>
    <t>STKSWI20250702042735332511</t>
  </si>
  <si>
    <t>STKSWI20250702042915332652</t>
  </si>
  <si>
    <t>STKSWI20250703034432376158</t>
  </si>
  <si>
    <t>STKSWI20250709020236544918</t>
  </si>
  <si>
    <t>STKSWI20250730044820531121</t>
  </si>
  <si>
    <t>STKSWI20250805020302892226</t>
  </si>
  <si>
    <t>STKSWI20250807020254013010</t>
  </si>
  <si>
    <t>STKSWI20250811020326182101</t>
  </si>
  <si>
    <t>STKSWI20251008020450858612</t>
  </si>
  <si>
    <t>STKSWI20251010031523160850</t>
  </si>
  <si>
    <t>STKSWI20251010031821162241</t>
  </si>
  <si>
    <t>STKSWI20251016033014867643</t>
  </si>
  <si>
    <t>STKSWI20251016033756870067</t>
  </si>
  <si>
    <t>STKSWI20251016033912870434</t>
  </si>
  <si>
    <t>STKSWI20251024033842552165</t>
  </si>
  <si>
    <t>STKSWI20251106033623903596</t>
  </si>
  <si>
    <t>STKSWI20251106033735904154</t>
  </si>
  <si>
    <t>STKSWI20251106033914904918</t>
  </si>
  <si>
    <t>STKSWI20251106034046905609</t>
  </si>
  <si>
    <t>STKSWI20251111043604301279</t>
  </si>
  <si>
    <t>STKSWI20251111043325300969</t>
  </si>
  <si>
    <t>STKSWI20251111043717301421</t>
  </si>
  <si>
    <t>STKSWI20251111043845301596</t>
  </si>
  <si>
    <t>STKSWI20251111044016301774</t>
  </si>
  <si>
    <t>STKSWI20251114033902590763</t>
  </si>
  <si>
    <t>STKSWI20251114034009591052</t>
  </si>
  <si>
    <t>STKSWI20251119035723902687</t>
  </si>
  <si>
    <t>STKSWI20251119035959903178</t>
  </si>
  <si>
    <t>STKSWI20251119035136901733</t>
  </si>
  <si>
    <t>STKSWI20251119035415902157</t>
  </si>
  <si>
    <t>STKSWI20251128051911464578</t>
  </si>
  <si>
    <t>STKSWI20251128052112464847</t>
  </si>
  <si>
    <t>STKSWI20251128052320465147</t>
  </si>
  <si>
    <t>STKSWI20251128052438465317</t>
  </si>
  <si>
    <t>STKSWI20251128053019465964</t>
  </si>
  <si>
    <t>STKSWI20251128053114466082</t>
  </si>
  <si>
    <t>STKSWI20251128053235466254</t>
  </si>
  <si>
    <t>STKSWI20251128053327466364</t>
  </si>
  <si>
    <t>STKSWI20251202031322703702</t>
  </si>
  <si>
    <t>STKSWI20251203054125798510</t>
  </si>
  <si>
    <t>STKSWI20251204034000853592</t>
  </si>
  <si>
    <t>STKSWI20251204034221854062</t>
  </si>
  <si>
    <t>STKSWI20251204040153857647</t>
  </si>
  <si>
    <t>STKSWI20251204044016863426</t>
  </si>
  <si>
    <t>STKSWI20251208044937054823</t>
  </si>
  <si>
    <t>STKSWI20251208045024054873</t>
  </si>
  <si>
    <t>STKSWI20251208045111054889</t>
  </si>
  <si>
    <t>STKSWI20251208045344054938</t>
  </si>
  <si>
    <t>STKSWI20251208045253054913</t>
  </si>
  <si>
    <t>STKSWI20251208051153055175</t>
  </si>
  <si>
    <t>STKSWI20251208051306055388</t>
  </si>
  <si>
    <t>STKSWI20251215043152450282</t>
  </si>
  <si>
    <t>STKSWI20251223024819837353</t>
  </si>
  <si>
    <t>STKSWI20251223025032837866</t>
  </si>
  <si>
    <t>STKSWI20251223025326838463</t>
  </si>
  <si>
    <t>STKSWI20251229034547149232</t>
  </si>
  <si>
    <t>STKSWI20251229034711149474</t>
  </si>
  <si>
    <t>STKSWI20260102052317425733</t>
  </si>
  <si>
    <t>STKSWI20260105023945543883</t>
  </si>
  <si>
    <t>STKSWI20260106030955650733</t>
  </si>
  <si>
    <t>STKSWI20260106033711658067</t>
  </si>
  <si>
    <t>STKSWI20260106034501659814</t>
  </si>
  <si>
    <t>STKSWI20260106034833660595</t>
  </si>
  <si>
    <t>STKSWI20260106035348661748</t>
  </si>
  <si>
    <t>STKSWI20260108024934808499</t>
  </si>
  <si>
    <t>STKSWI20260108030645814326</t>
  </si>
  <si>
    <t>STKSWI20260108030929815170</t>
  </si>
  <si>
    <t>STKSWI20260109035835900842</t>
  </si>
  <si>
    <t>STKSWI20260109051904908156</t>
  </si>
  <si>
    <t>STKSWI20260113035528126720</t>
  </si>
  <si>
    <t>STKSWI20260116044223425303</t>
  </si>
  <si>
    <t>STKSWI20260121031615699104</t>
  </si>
  <si>
    <t>STKSWI20260202025113785390</t>
  </si>
  <si>
    <t>STKSWI20260206034846414637</t>
  </si>
  <si>
    <t>STKSWI20260206035021415217</t>
  </si>
  <si>
    <t>STKSWI20260206035146415738</t>
  </si>
  <si>
    <t>STKSWI20260206035345416426</t>
  </si>
  <si>
    <t>STKSWI20260206035634417315</t>
  </si>
  <si>
    <t>STKSWI20260212041050800405</t>
  </si>
  <si>
    <t>STKSWI20260219043720147890</t>
  </si>
  <si>
    <t>STKSWI20260219040233144829</t>
  </si>
  <si>
    <t>STKSWI20260326031349244621</t>
  </si>
  <si>
    <t>STKSWI20260401033047684143</t>
  </si>
  <si>
    <t>STKSWI20260401033544685029</t>
  </si>
  <si>
    <t>STKSWI20260401034136686048</t>
  </si>
  <si>
    <t>STKSWI20260401033654685225</t>
  </si>
  <si>
    <t>STKSWI20260401034312686326</t>
  </si>
  <si>
    <t>STKSWI20260401034025685839</t>
  </si>
  <si>
    <t>STKSWI20260401034535686757</t>
  </si>
  <si>
    <t>STKSWI20260401034704686988</t>
  </si>
  <si>
    <t>STKSWI20260406014512839577</t>
  </si>
  <si>
    <t>STKSWI20260406013921838340</t>
  </si>
  <si>
    <t>STKSWI20260406014736840040</t>
  </si>
  <si>
    <t>STKSWI20260410051627101986</t>
  </si>
  <si>
    <t>STKSWI20260410034058094589</t>
  </si>
  <si>
    <t>STKSWI20260410034436095016</t>
  </si>
  <si>
    <t>STKSWI20260410040958097879</t>
  </si>
  <si>
    <t>STKSWI20260410041403098296</t>
  </si>
  <si>
    <t>STKSWI20260410033845094291</t>
  </si>
  <si>
    <t>STKSWI20260410034853095569</t>
  </si>
  <si>
    <t>STKSWI20260410035251095986</t>
  </si>
  <si>
    <t>STKSWI20260410035537096296</t>
  </si>
  <si>
    <t>STKSWI20260410035801096598</t>
  </si>
  <si>
    <t>STKSWI20260410035919096732</t>
  </si>
  <si>
    <t>STKSWI20260410040014096883</t>
  </si>
  <si>
    <t>STKSWI20260410040148097047</t>
  </si>
  <si>
    <t>STKSWI20260410040424097302</t>
  </si>
  <si>
    <t>STKSWI20260410040758097676</t>
  </si>
  <si>
    <t>STKSWI20260410041533098449</t>
  </si>
  <si>
    <t>STKSWI20260413021419162696</t>
  </si>
  <si>
    <t>Cash Identity Diff ($)</t>
  </si>
  <si>
    <t>Txn Sum vs Trade Transaction ($)</t>
  </si>
  <si>
    <t>Gross Dividends Sum vs Summary ($)</t>
  </si>
  <si>
    <t>Holdings Sum vs Long ($)</t>
  </si>
  <si>
    <t>Prior Ending vs Beginning ($)</t>
  </si>
  <si>
    <t>Note</t>
  </si>
  <si>
    <t>Holdings diff of few cents = statement's own per-row rounding (verified against PDF text)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</si>
</sst>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&quot;($&quot;#,##0.00\);\-"/>
    <numFmt numFmtId="165" formatCode="0.#########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zoomScaleNormal="100" workbookViewId="0">
      <pane ySplit="1" topLeftCell="A2" activePane="bottomLeft" state="frozen"/>
      <selection pane="bottomLeft" activeCell="E2" sqref="E2"/>
    </sheetView>
  </sheetViews>
  <sheetFormatPr defaultColWidth="8.7109375" defaultRowHeight="15" x14ac:dyDescent="0.25"/>
  <cols>
    <col min="1" max="1" width="10" customWidth="1"/>
    <col min="2" max="2" width="16" customWidth="1"/>
    <col min="3" max="3" width="12" customWidth="1"/>
    <col min="4" max="4" width="16" customWidth="1"/>
    <col min="5" max="6" width="13" customWidth="1"/>
    <col min="7" max="7" width="16" customWidth="1"/>
    <col min="8" max="9" width="14" customWidth="1"/>
    <col min="10" max="10" width="13" customWidth="1"/>
    <col min="11" max="11" width="17" customWidth="1"/>
    <col min="12" max="12" width="12" customWidth="1"/>
    <col min="13" max="13" width="11" customWidth="1"/>
    <col min="14" max="15" width="15" customWidth="1"/>
  </cols>
  <sheetData>
    <row r="1" spans="1:15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customHeight="1" x14ac:dyDescent="0.25">
      <c r="A2" s="2" t="s">
        <v>15</v>
      </c>
      <c r="B2" s="2" t="s">
        <v>16</v>
      </c>
      <c r="C2" s="2" t="s">
        <v>17</v>
      </c>
      <c r="D2" s="3"/>
      <c r="E2" s="3">
        <v>34.049999999999997</v>
      </c>
      <c r="F2" s="3"/>
      <c r="G2" s="3">
        <v>-30.01</v>
      </c>
      <c r="H2" s="3">
        <v>-0.02</v>
      </c>
      <c r="I2" s="3">
        <v>4.0199999999999996</v>
      </c>
      <c r="J2" s="3">
        <v>32.590000000000003</v>
      </c>
      <c r="K2" s="3">
        <v>36.61</v>
      </c>
      <c r="L2" s="3"/>
      <c r="M2" s="3"/>
      <c r="N2" s="3"/>
      <c r="O2" s="3"/>
    </row>
    <row r="3" spans="1:15" ht="15" customHeight="1" x14ac:dyDescent="0.25">
      <c r="A3" s="2" t="s">
        <v>18</v>
      </c>
      <c r="B3" s="2" t="s">
        <v>19</v>
      </c>
      <c r="C3" s="2" t="s">
        <v>17</v>
      </c>
      <c r="D3" s="3">
        <v>4.0199999999999996</v>
      </c>
      <c r="E3" s="3">
        <v>53.72</v>
      </c>
      <c r="F3" s="3"/>
      <c r="G3" s="3">
        <v>-57.68</v>
      </c>
      <c r="H3" s="3">
        <v>-0.05</v>
      </c>
      <c r="I3" s="3">
        <v>0.01</v>
      </c>
      <c r="J3" s="3">
        <v>81.09</v>
      </c>
      <c r="K3" s="3">
        <v>81.099999999999994</v>
      </c>
      <c r="L3" s="3"/>
      <c r="M3" s="3"/>
      <c r="N3" s="3"/>
      <c r="O3" s="3"/>
    </row>
    <row r="4" spans="1:15" ht="15" customHeight="1" x14ac:dyDescent="0.25">
      <c r="A4" s="2" t="s">
        <v>20</v>
      </c>
      <c r="B4" s="2" t="s">
        <v>21</v>
      </c>
      <c r="C4" s="2" t="s">
        <v>17</v>
      </c>
      <c r="D4" s="3">
        <v>0.01</v>
      </c>
      <c r="E4" s="3"/>
      <c r="F4" s="3"/>
      <c r="G4" s="3"/>
      <c r="H4" s="3"/>
      <c r="I4" s="3">
        <v>0.01</v>
      </c>
      <c r="J4" s="3">
        <v>85.28</v>
      </c>
      <c r="K4" s="3">
        <v>85.29</v>
      </c>
      <c r="L4" s="3"/>
      <c r="M4" s="3"/>
      <c r="N4" s="3"/>
      <c r="O4" s="3"/>
    </row>
    <row r="5" spans="1:15" ht="15" customHeight="1" x14ac:dyDescent="0.25">
      <c r="A5" s="2" t="s">
        <v>22</v>
      </c>
      <c r="B5" s="2" t="s">
        <v>23</v>
      </c>
      <c r="C5" s="2" t="s">
        <v>17</v>
      </c>
      <c r="D5" s="3">
        <v>0.01</v>
      </c>
      <c r="E5" s="3"/>
      <c r="F5" s="3"/>
      <c r="G5" s="3"/>
      <c r="H5" s="3"/>
      <c r="I5" s="3">
        <v>0.01</v>
      </c>
      <c r="J5" s="3">
        <v>82.54</v>
      </c>
      <c r="K5" s="3">
        <v>82.55</v>
      </c>
      <c r="L5" s="3"/>
      <c r="M5" s="3"/>
      <c r="N5" s="3"/>
      <c r="O5" s="3"/>
    </row>
    <row r="6" spans="1:15" ht="15" customHeight="1" x14ac:dyDescent="0.25">
      <c r="A6" s="2" t="s">
        <v>24</v>
      </c>
      <c r="B6" s="2" t="s">
        <v>25</v>
      </c>
      <c r="C6" s="2" t="s">
        <v>17</v>
      </c>
      <c r="D6" s="3">
        <v>0.01</v>
      </c>
      <c r="E6" s="3"/>
      <c r="F6" s="3"/>
      <c r="G6" s="3"/>
      <c r="H6" s="3"/>
      <c r="I6" s="3">
        <v>0.01</v>
      </c>
      <c r="J6" s="3">
        <v>78.23</v>
      </c>
      <c r="K6" s="3">
        <v>78.239999999999995</v>
      </c>
      <c r="L6" s="3"/>
      <c r="M6" s="3"/>
      <c r="N6" s="3"/>
      <c r="O6" s="3"/>
    </row>
    <row r="7" spans="1:15" ht="15" customHeight="1" x14ac:dyDescent="0.25">
      <c r="A7" s="2" t="s">
        <v>26</v>
      </c>
      <c r="B7" s="2" t="s">
        <v>27</v>
      </c>
      <c r="C7" s="2" t="s">
        <v>17</v>
      </c>
      <c r="D7" s="3">
        <v>0.01</v>
      </c>
      <c r="E7" s="3">
        <v>0.47</v>
      </c>
      <c r="F7" s="3">
        <v>0.06</v>
      </c>
      <c r="G7" s="3"/>
      <c r="H7" s="3"/>
      <c r="I7" s="3">
        <v>0.42</v>
      </c>
      <c r="J7" s="3">
        <v>81.73</v>
      </c>
      <c r="K7" s="3">
        <v>82.15</v>
      </c>
      <c r="L7" s="3">
        <v>0.47</v>
      </c>
      <c r="M7" s="3"/>
      <c r="N7" s="3"/>
      <c r="O7" s="3"/>
    </row>
    <row r="8" spans="1:15" ht="15" customHeight="1" x14ac:dyDescent="0.25">
      <c r="A8" s="2" t="s">
        <v>28</v>
      </c>
      <c r="B8" s="2" t="s">
        <v>29</v>
      </c>
      <c r="C8" s="2" t="s">
        <v>17</v>
      </c>
      <c r="D8" s="3">
        <v>0.42</v>
      </c>
      <c r="E8" s="3">
        <v>0.06</v>
      </c>
      <c r="F8" s="3"/>
      <c r="G8" s="3"/>
      <c r="H8" s="3"/>
      <c r="I8" s="3">
        <v>0.48</v>
      </c>
      <c r="J8" s="3">
        <v>91</v>
      </c>
      <c r="K8" s="3">
        <v>91.48</v>
      </c>
      <c r="L8" s="3">
        <v>0.06</v>
      </c>
      <c r="M8" s="3"/>
      <c r="N8" s="3"/>
      <c r="O8" s="3"/>
    </row>
    <row r="9" spans="1:15" ht="15" customHeight="1" x14ac:dyDescent="0.25">
      <c r="A9" s="2" t="s">
        <v>30</v>
      </c>
      <c r="B9" s="2" t="s">
        <v>31</v>
      </c>
      <c r="C9" s="2" t="s">
        <v>17</v>
      </c>
      <c r="D9" s="3">
        <v>0.48</v>
      </c>
      <c r="E9" s="3"/>
      <c r="F9" s="3"/>
      <c r="G9" s="3"/>
      <c r="H9" s="3"/>
      <c r="I9" s="3">
        <v>0.48</v>
      </c>
      <c r="J9" s="3">
        <v>85.73</v>
      </c>
      <c r="K9" s="3">
        <v>86.21</v>
      </c>
      <c r="L9" s="3"/>
      <c r="M9" s="3"/>
      <c r="N9" s="3"/>
      <c r="O9" s="3"/>
    </row>
    <row r="10" spans="1:15" ht="15" customHeight="1" x14ac:dyDescent="0.25">
      <c r="A10" s="2" t="s">
        <v>32</v>
      </c>
      <c r="B10" s="2" t="s">
        <v>33</v>
      </c>
      <c r="C10" s="2" t="s">
        <v>17</v>
      </c>
      <c r="D10" s="3">
        <v>0.48</v>
      </c>
      <c r="E10" s="3"/>
      <c r="F10" s="3"/>
      <c r="G10" s="3"/>
      <c r="H10" s="3"/>
      <c r="I10" s="3">
        <v>0.48</v>
      </c>
      <c r="J10" s="3">
        <v>80.44</v>
      </c>
      <c r="K10" s="3">
        <v>80.92</v>
      </c>
      <c r="L10" s="3"/>
      <c r="M10" s="3"/>
      <c r="N10" s="3"/>
      <c r="O10" s="3"/>
    </row>
    <row r="11" spans="1:15" ht="15" customHeight="1" x14ac:dyDescent="0.25">
      <c r="A11" s="2" t="s">
        <v>34</v>
      </c>
      <c r="B11" s="2" t="s">
        <v>35</v>
      </c>
      <c r="C11" s="2" t="s">
        <v>17</v>
      </c>
      <c r="D11" s="3">
        <v>0.48</v>
      </c>
      <c r="E11" s="3"/>
      <c r="F11" s="3"/>
      <c r="G11" s="3"/>
      <c r="H11" s="3"/>
      <c r="I11" s="3">
        <v>0.48</v>
      </c>
      <c r="J11" s="3">
        <v>73.92</v>
      </c>
      <c r="K11" s="3">
        <v>74.400000000000006</v>
      </c>
      <c r="L11" s="3"/>
      <c r="M11" s="3"/>
      <c r="N11" s="3"/>
      <c r="O11" s="3"/>
    </row>
    <row r="12" spans="1:15" ht="15" customHeight="1" x14ac:dyDescent="0.25">
      <c r="A12" s="2" t="s">
        <v>36</v>
      </c>
      <c r="B12" s="2" t="s">
        <v>37</v>
      </c>
      <c r="C12" s="2" t="s">
        <v>17</v>
      </c>
      <c r="D12" s="3">
        <v>0.48</v>
      </c>
      <c r="E12" s="3"/>
      <c r="F12" s="3"/>
      <c r="G12" s="3"/>
      <c r="H12" s="3"/>
      <c r="I12" s="3">
        <v>0.48</v>
      </c>
      <c r="J12" s="3">
        <v>78.489999999999995</v>
      </c>
      <c r="K12" s="3">
        <v>78.97</v>
      </c>
      <c r="L12" s="3"/>
      <c r="M12" s="3"/>
      <c r="N12" s="3"/>
      <c r="O12" s="3"/>
    </row>
    <row r="13" spans="1:15" ht="15" customHeight="1" x14ac:dyDescent="0.25">
      <c r="A13" s="2" t="s">
        <v>38</v>
      </c>
      <c r="B13" s="2" t="s">
        <v>39</v>
      </c>
      <c r="C13" s="2" t="s">
        <v>17</v>
      </c>
      <c r="D13" s="3">
        <v>0.48</v>
      </c>
      <c r="E13" s="3">
        <v>120.56</v>
      </c>
      <c r="F13" s="3">
        <v>0.16</v>
      </c>
      <c r="G13" s="3">
        <v>-119.37</v>
      </c>
      <c r="H13" s="3">
        <v>-0.11</v>
      </c>
      <c r="I13" s="3">
        <v>1.4</v>
      </c>
      <c r="J13" s="3">
        <v>202.83</v>
      </c>
      <c r="K13" s="3">
        <v>204.23</v>
      </c>
      <c r="L13" s="3">
        <v>1.08</v>
      </c>
      <c r="M13" s="3"/>
      <c r="N13" s="3"/>
      <c r="O13" s="3"/>
    </row>
    <row r="14" spans="1:15" ht="15" customHeight="1" x14ac:dyDescent="0.25">
      <c r="A14" s="2" t="s">
        <v>40</v>
      </c>
      <c r="B14" s="2" t="s">
        <v>41</v>
      </c>
      <c r="C14" s="2" t="s">
        <v>17</v>
      </c>
      <c r="D14" s="3">
        <v>1.4</v>
      </c>
      <c r="E14" s="3">
        <v>40.1</v>
      </c>
      <c r="F14" s="3">
        <v>0.01</v>
      </c>
      <c r="G14" s="3">
        <v>-33.520000000000003</v>
      </c>
      <c r="H14" s="3"/>
      <c r="I14" s="3">
        <v>7.97</v>
      </c>
      <c r="J14" s="3">
        <v>225</v>
      </c>
      <c r="K14" s="3">
        <v>232.97</v>
      </c>
      <c r="L14" s="3">
        <v>0.1</v>
      </c>
      <c r="M14" s="3"/>
      <c r="N14" s="3"/>
      <c r="O14" s="3"/>
    </row>
    <row r="15" spans="1:15" ht="15" customHeight="1" x14ac:dyDescent="0.25">
      <c r="A15" s="2" t="s">
        <v>42</v>
      </c>
      <c r="B15" s="2" t="s">
        <v>43</v>
      </c>
      <c r="C15" s="2" t="s">
        <v>17</v>
      </c>
      <c r="D15" s="3">
        <v>7.97</v>
      </c>
      <c r="E15" s="3">
        <v>141.19999999999999</v>
      </c>
      <c r="F15" s="3"/>
      <c r="G15" s="3">
        <v>-141.19999999999999</v>
      </c>
      <c r="H15" s="3"/>
      <c r="I15" s="3">
        <v>7.97</v>
      </c>
      <c r="J15" s="3">
        <v>407.56</v>
      </c>
      <c r="K15" s="3">
        <v>415.53</v>
      </c>
      <c r="L15" s="3"/>
      <c r="M15" s="3"/>
      <c r="N15" s="3"/>
      <c r="O15" s="3"/>
    </row>
    <row r="16" spans="1:15" ht="15" customHeight="1" x14ac:dyDescent="0.25">
      <c r="A16" s="2" t="s">
        <v>44</v>
      </c>
      <c r="B16" s="2" t="s">
        <v>45</v>
      </c>
      <c r="C16" s="2" t="s">
        <v>17</v>
      </c>
      <c r="D16" s="3">
        <v>7.97</v>
      </c>
      <c r="E16" s="3">
        <v>309.73</v>
      </c>
      <c r="F16" s="3">
        <v>0.17</v>
      </c>
      <c r="G16" s="3">
        <v>-308.11</v>
      </c>
      <c r="H16" s="3">
        <v>-0.41</v>
      </c>
      <c r="I16" s="3">
        <v>9.01</v>
      </c>
      <c r="J16" s="3">
        <v>718.85</v>
      </c>
      <c r="K16" s="3">
        <v>727.86</v>
      </c>
      <c r="L16" s="3">
        <v>1.21</v>
      </c>
      <c r="M16" s="3"/>
      <c r="N16" s="3"/>
      <c r="O16" s="3"/>
    </row>
    <row r="17" spans="1:15" ht="15" customHeight="1" x14ac:dyDescent="0.25">
      <c r="A17" s="2" t="s">
        <v>46</v>
      </c>
      <c r="B17" s="2" t="s">
        <v>47</v>
      </c>
      <c r="C17" s="2" t="s">
        <v>17</v>
      </c>
      <c r="D17" s="3">
        <v>9.01</v>
      </c>
      <c r="E17" s="3">
        <v>3099.67</v>
      </c>
      <c r="F17" s="3">
        <v>2.52</v>
      </c>
      <c r="G17" s="3">
        <v>-3081.8</v>
      </c>
      <c r="H17" s="3">
        <v>-0.34</v>
      </c>
      <c r="I17" s="3">
        <v>24.02</v>
      </c>
      <c r="J17" s="3">
        <v>3767.26</v>
      </c>
      <c r="K17" s="3">
        <v>3791.28</v>
      </c>
      <c r="L17" s="3">
        <v>16.920000000000002</v>
      </c>
      <c r="M17" s="3"/>
      <c r="N17" s="3"/>
      <c r="O17" s="3"/>
    </row>
    <row r="18" spans="1:15" ht="15" customHeight="1" x14ac:dyDescent="0.25">
      <c r="A18" s="2" t="s">
        <v>48</v>
      </c>
      <c r="B18" s="2" t="s">
        <v>49</v>
      </c>
      <c r="C18" s="2" t="s">
        <v>17</v>
      </c>
      <c r="D18" s="3">
        <v>24.02</v>
      </c>
      <c r="E18" s="3">
        <v>4183.54</v>
      </c>
      <c r="F18" s="3">
        <v>486.15</v>
      </c>
      <c r="G18" s="3">
        <v>-3677.87</v>
      </c>
      <c r="H18" s="3">
        <v>-2.46</v>
      </c>
      <c r="I18" s="3">
        <v>41.08</v>
      </c>
      <c r="J18" s="3">
        <v>7463.61</v>
      </c>
      <c r="K18" s="3">
        <v>7504.69</v>
      </c>
      <c r="L18" s="3">
        <v>34.54</v>
      </c>
      <c r="M18" s="3"/>
      <c r="N18" s="3"/>
      <c r="O18" s="3"/>
    </row>
    <row r="19" spans="1:15" ht="15" customHeight="1" x14ac:dyDescent="0.25">
      <c r="A19" s="2" t="s">
        <v>50</v>
      </c>
      <c r="B19" s="2" t="s">
        <v>51</v>
      </c>
      <c r="C19" s="2" t="s">
        <v>17</v>
      </c>
      <c r="D19" s="3">
        <v>41.08</v>
      </c>
      <c r="E19" s="3">
        <v>2241.4499999999998</v>
      </c>
      <c r="F19" s="3">
        <v>8.65</v>
      </c>
      <c r="G19" s="3">
        <v>-2230.1799999999998</v>
      </c>
      <c r="H19" s="3">
        <v>-1.44</v>
      </c>
      <c r="I19" s="3">
        <v>42.26</v>
      </c>
      <c r="J19" s="3">
        <v>9674.4699999999993</v>
      </c>
      <c r="K19" s="3">
        <v>9716.73</v>
      </c>
      <c r="L19" s="3">
        <v>57.95</v>
      </c>
      <c r="M19" s="3"/>
      <c r="N19" s="3"/>
      <c r="O19" s="3"/>
    </row>
    <row r="20" spans="1:15" ht="15" customHeight="1" x14ac:dyDescent="0.25">
      <c r="A20" s="2" t="s">
        <v>52</v>
      </c>
      <c r="B20" s="2" t="s">
        <v>53</v>
      </c>
      <c r="C20" s="2" t="s">
        <v>17</v>
      </c>
      <c r="D20" s="3">
        <v>42.26</v>
      </c>
      <c r="E20" s="3">
        <v>11392.26</v>
      </c>
      <c r="F20" s="3">
        <v>17.96</v>
      </c>
      <c r="G20" s="3">
        <v>-4012.4</v>
      </c>
      <c r="H20" s="3">
        <v>-5.05</v>
      </c>
      <c r="I20" s="3">
        <v>7399.11</v>
      </c>
      <c r="J20" s="3">
        <v>13605.71</v>
      </c>
      <c r="K20" s="3">
        <v>21004.82</v>
      </c>
      <c r="L20" s="3">
        <v>120.15</v>
      </c>
      <c r="M20" s="3"/>
      <c r="N20" s="3"/>
      <c r="O20" s="3"/>
    </row>
    <row r="21" spans="1:15" ht="15" customHeight="1" x14ac:dyDescent="0.25">
      <c r="A21" s="2" t="s">
        <v>54</v>
      </c>
      <c r="B21" s="2" t="s">
        <v>55</v>
      </c>
      <c r="C21" s="2" t="s">
        <v>17</v>
      </c>
      <c r="D21" s="3">
        <v>7399.11</v>
      </c>
      <c r="E21" s="3">
        <v>128.74</v>
      </c>
      <c r="F21" s="3">
        <v>18.170000000000002</v>
      </c>
      <c r="G21" s="3">
        <v>-6205.5</v>
      </c>
      <c r="H21" s="3">
        <v>-5.28</v>
      </c>
      <c r="I21" s="3">
        <v>1298.9000000000001</v>
      </c>
      <c r="J21" s="3">
        <v>19769.400000000001</v>
      </c>
      <c r="K21" s="3">
        <v>21068.3</v>
      </c>
      <c r="L21" s="3">
        <v>122.08</v>
      </c>
      <c r="M21" s="3"/>
      <c r="N21" s="3"/>
      <c r="O21" s="3"/>
    </row>
    <row r="22" spans="1:15" ht="15" customHeight="1" x14ac:dyDescent="0.25">
      <c r="A22" s="2" t="s">
        <v>56</v>
      </c>
      <c r="B22" s="2" t="s">
        <v>57</v>
      </c>
      <c r="C22" s="2" t="s">
        <v>17</v>
      </c>
      <c r="D22" s="3">
        <v>1298.9000000000001</v>
      </c>
      <c r="E22" s="3">
        <v>1719.26</v>
      </c>
      <c r="F22" s="3">
        <v>26.97</v>
      </c>
      <c r="G22" s="3">
        <v>-182</v>
      </c>
      <c r="H22" s="3"/>
      <c r="I22" s="3">
        <v>2809.19</v>
      </c>
      <c r="J22" s="3">
        <v>19945.55</v>
      </c>
      <c r="K22" s="3">
        <v>22754.74</v>
      </c>
      <c r="L22" s="3">
        <v>180.33</v>
      </c>
      <c r="M22" s="3"/>
      <c r="N22" s="3"/>
      <c r="O22" s="3"/>
    </row>
    <row r="23" spans="1:15" ht="15" customHeight="1" x14ac:dyDescent="0.25">
      <c r="A23" s="2" t="s">
        <v>58</v>
      </c>
      <c r="B23" s="2" t="s">
        <v>59</v>
      </c>
      <c r="C23" s="2" t="s">
        <v>17</v>
      </c>
      <c r="D23" s="3">
        <v>2809.19</v>
      </c>
      <c r="E23" s="3">
        <v>320.05</v>
      </c>
      <c r="F23" s="3">
        <v>47.91</v>
      </c>
      <c r="G23" s="3">
        <v>-2474.84</v>
      </c>
      <c r="H23" s="3">
        <v>-3.06</v>
      </c>
      <c r="I23" s="3">
        <v>603.42999999999995</v>
      </c>
      <c r="J23" s="3">
        <v>22294.98</v>
      </c>
      <c r="K23" s="3">
        <v>22898.41</v>
      </c>
      <c r="L23" s="3">
        <v>320.05</v>
      </c>
      <c r="M23" s="3"/>
      <c r="N23" s="3"/>
      <c r="O23" s="3"/>
    </row>
    <row r="24" spans="1:15" ht="15" customHeight="1" x14ac:dyDescent="0.25">
      <c r="A24" s="2" t="s">
        <v>60</v>
      </c>
      <c r="B24" s="2" t="s">
        <v>61</v>
      </c>
      <c r="C24" s="2" t="s">
        <v>17</v>
      </c>
      <c r="D24" s="3">
        <v>603.42999999999995</v>
      </c>
      <c r="E24" s="3">
        <v>3583.02</v>
      </c>
      <c r="F24" s="3">
        <v>57.1</v>
      </c>
      <c r="G24" s="3">
        <v>-1713.06</v>
      </c>
      <c r="H24" s="3">
        <v>-2.06</v>
      </c>
      <c r="I24" s="3">
        <v>2414.23</v>
      </c>
      <c r="J24" s="3">
        <v>24246.06</v>
      </c>
      <c r="K24" s="3">
        <v>26660.29</v>
      </c>
      <c r="L24" s="3">
        <v>381.16</v>
      </c>
      <c r="M24" s="3"/>
      <c r="N24" s="3"/>
      <c r="O24" s="3"/>
    </row>
    <row r="25" spans="1:15" ht="15" customHeight="1" x14ac:dyDescent="0.25">
      <c r="A25" s="2" t="s">
        <v>62</v>
      </c>
      <c r="B25" s="2" t="s">
        <v>63</v>
      </c>
      <c r="C25" s="2" t="s">
        <v>17</v>
      </c>
      <c r="D25" s="3">
        <v>2414.23</v>
      </c>
      <c r="E25" s="3">
        <v>2672.16</v>
      </c>
      <c r="F25" s="3">
        <v>272.20999999999998</v>
      </c>
      <c r="G25" s="3">
        <v>-4774.95</v>
      </c>
      <c r="H25" s="3">
        <v>-6.34</v>
      </c>
      <c r="I25" s="3">
        <v>32.89</v>
      </c>
      <c r="J25" s="3">
        <v>28334.959999999999</v>
      </c>
      <c r="K25" s="3">
        <v>28367.85</v>
      </c>
      <c r="L25" s="3">
        <v>320.05</v>
      </c>
      <c r="M25" s="3">
        <v>89.42</v>
      </c>
      <c r="N25" s="3"/>
      <c r="O25" s="3"/>
    </row>
    <row r="26" spans="1:15" ht="15" customHeight="1" x14ac:dyDescent="0.25">
      <c r="A26" s="2" t="s">
        <v>64</v>
      </c>
      <c r="B26" s="2" t="s">
        <v>65</v>
      </c>
      <c r="C26" s="2" t="s">
        <v>17</v>
      </c>
      <c r="D26" s="3">
        <v>32.89</v>
      </c>
      <c r="E26" s="3">
        <v>1975.01</v>
      </c>
      <c r="F26" s="3">
        <v>49.16</v>
      </c>
      <c r="G26" s="3">
        <v>-1789.46</v>
      </c>
      <c r="H26" s="3">
        <v>-2.89</v>
      </c>
      <c r="I26" s="3">
        <v>166.39</v>
      </c>
      <c r="J26" s="3">
        <v>30350.5</v>
      </c>
      <c r="K26" s="3">
        <v>30516.89</v>
      </c>
      <c r="L26" s="3">
        <v>328.66</v>
      </c>
      <c r="M26" s="3"/>
      <c r="N26" s="3"/>
      <c r="O26" s="3"/>
    </row>
    <row r="27" spans="1:15" ht="15" customHeight="1" x14ac:dyDescent="0.25">
      <c r="A27" s="2" t="s">
        <v>66</v>
      </c>
      <c r="B27" s="2" t="s">
        <v>67</v>
      </c>
      <c r="C27" s="2" t="s">
        <v>17</v>
      </c>
      <c r="D27" s="3">
        <v>166.39</v>
      </c>
      <c r="E27" s="3">
        <v>3019.94</v>
      </c>
      <c r="F27" s="3">
        <v>56.61</v>
      </c>
      <c r="G27" s="3">
        <v>-2959.01</v>
      </c>
      <c r="H27" s="3">
        <v>-4.8099999999999996</v>
      </c>
      <c r="I27" s="3">
        <v>165.9</v>
      </c>
      <c r="J27" s="3">
        <v>32447.95</v>
      </c>
      <c r="K27" s="3">
        <v>32613.85</v>
      </c>
      <c r="L27" s="3">
        <v>378.26</v>
      </c>
      <c r="M27" s="3"/>
      <c r="N27" s="3">
        <v>1.26</v>
      </c>
      <c r="O27" s="3"/>
    </row>
    <row r="28" spans="1:15" ht="15" customHeight="1" x14ac:dyDescent="0.25">
      <c r="A28" s="2" t="s">
        <v>68</v>
      </c>
      <c r="B28" s="2" t="s">
        <v>69</v>
      </c>
      <c r="C28" s="2" t="s">
        <v>17</v>
      </c>
      <c r="D28" s="3">
        <v>165.9</v>
      </c>
      <c r="E28" s="3">
        <v>1153.5899999999999</v>
      </c>
      <c r="F28" s="3">
        <v>49.06</v>
      </c>
      <c r="G28" s="3">
        <v>-1047.26</v>
      </c>
      <c r="H28" s="3">
        <v>-1.27</v>
      </c>
      <c r="I28" s="3">
        <v>221.9</v>
      </c>
      <c r="J28" s="3">
        <v>32636.19</v>
      </c>
      <c r="K28" s="3">
        <v>32858.089999999997</v>
      </c>
      <c r="L28" s="3">
        <v>327.98</v>
      </c>
      <c r="M28" s="3"/>
      <c r="N28" s="3"/>
      <c r="O28" s="3"/>
    </row>
    <row r="29" spans="1:15" ht="15" customHeight="1" x14ac:dyDescent="0.25">
      <c r="A29" s="2" t="s">
        <v>70</v>
      </c>
      <c r="B29" s="2" t="s">
        <v>71</v>
      </c>
      <c r="C29" s="2" t="s">
        <v>17</v>
      </c>
      <c r="D29" s="3">
        <v>221.9</v>
      </c>
      <c r="E29" s="3">
        <v>1350.35</v>
      </c>
      <c r="F29" s="3">
        <v>45.77</v>
      </c>
      <c r="G29" s="3">
        <v>-968.83</v>
      </c>
      <c r="H29" s="3">
        <v>-4.2300000000000004</v>
      </c>
      <c r="I29" s="3">
        <v>553.41999999999996</v>
      </c>
      <c r="J29" s="3">
        <v>33470.83</v>
      </c>
      <c r="K29" s="3">
        <v>34024.25</v>
      </c>
      <c r="L29" s="3">
        <v>307.57</v>
      </c>
      <c r="M29" s="3"/>
      <c r="N29" s="3">
        <v>-374.77</v>
      </c>
      <c r="O29" s="3">
        <v>-5.21</v>
      </c>
    </row>
    <row r="30" spans="1:15" ht="15" customHeight="1" x14ac:dyDescent="0.25">
      <c r="A30" s="2" t="s">
        <v>72</v>
      </c>
      <c r="B30" s="2" t="s">
        <v>73</v>
      </c>
      <c r="C30" s="2" t="s">
        <v>17</v>
      </c>
      <c r="D30" s="3">
        <v>553.41999999999996</v>
      </c>
      <c r="E30" s="3">
        <v>910.01</v>
      </c>
      <c r="F30" s="3">
        <v>81.510000000000005</v>
      </c>
      <c r="G30" s="3">
        <v>-1234.6500000000001</v>
      </c>
      <c r="H30" s="3">
        <v>-3.4</v>
      </c>
      <c r="I30" s="3">
        <v>143.87</v>
      </c>
      <c r="J30" s="3">
        <v>34854.36</v>
      </c>
      <c r="K30" s="3">
        <v>34998.230000000003</v>
      </c>
      <c r="L30" s="3">
        <v>544.35</v>
      </c>
      <c r="M30" s="3"/>
      <c r="N30" s="3">
        <v>-115.81</v>
      </c>
      <c r="O30" s="3"/>
    </row>
    <row r="31" spans="1:15" ht="15" customHeight="1" x14ac:dyDescent="0.25">
      <c r="A31" s="2" t="s">
        <v>74</v>
      </c>
      <c r="B31" s="2" t="s">
        <v>75</v>
      </c>
      <c r="C31" s="2" t="s">
        <v>17</v>
      </c>
      <c r="D31" s="3">
        <v>143.87</v>
      </c>
      <c r="E31" s="3">
        <v>1189.8</v>
      </c>
      <c r="F31" s="3">
        <v>55.51</v>
      </c>
      <c r="G31" s="3">
        <v>-1235.8800000000001</v>
      </c>
      <c r="H31" s="3">
        <v>-4.8600000000000003</v>
      </c>
      <c r="I31" s="3">
        <v>37.42</v>
      </c>
      <c r="J31" s="3">
        <v>36557.370000000003</v>
      </c>
      <c r="K31" s="3">
        <v>36594.79</v>
      </c>
      <c r="L31" s="3">
        <v>371.09</v>
      </c>
      <c r="M31" s="3"/>
      <c r="N31" s="3">
        <v>-16.62</v>
      </c>
      <c r="O31" s="3">
        <v>1.96</v>
      </c>
    </row>
    <row r="32" spans="1:15" ht="15" customHeight="1" x14ac:dyDescent="0.25">
      <c r="A32" s="2" t="s">
        <v>76</v>
      </c>
      <c r="B32" s="2" t="s">
        <v>77</v>
      </c>
      <c r="C32" s="2" t="s">
        <v>17</v>
      </c>
      <c r="D32" s="3">
        <v>37.42</v>
      </c>
      <c r="E32" s="3">
        <v>1077.6500000000001</v>
      </c>
      <c r="F32" s="3">
        <v>59.21</v>
      </c>
      <c r="G32" s="3">
        <v>-645.4</v>
      </c>
      <c r="H32" s="3">
        <v>-13.45</v>
      </c>
      <c r="I32" s="3">
        <v>397.01</v>
      </c>
      <c r="J32" s="3">
        <v>37319</v>
      </c>
      <c r="K32" s="3">
        <v>37716.01</v>
      </c>
      <c r="L32" s="3">
        <v>396.17</v>
      </c>
      <c r="M32" s="3"/>
      <c r="N32" s="3">
        <v>-220.87</v>
      </c>
      <c r="O32" s="3"/>
    </row>
    <row r="33" spans="1:15" ht="15" customHeight="1" x14ac:dyDescent="0.25">
      <c r="A33" s="2" t="s">
        <v>78</v>
      </c>
      <c r="B33" s="2" t="s">
        <v>79</v>
      </c>
      <c r="C33" s="2" t="s">
        <v>17</v>
      </c>
      <c r="D33" s="3">
        <v>397.01</v>
      </c>
      <c r="E33" s="3">
        <v>456.87</v>
      </c>
      <c r="F33" s="3">
        <v>68.349999999999994</v>
      </c>
      <c r="G33" s="3">
        <v>-74.459999999999994</v>
      </c>
      <c r="H33" s="3">
        <v>-10.17</v>
      </c>
      <c r="I33" s="3">
        <v>700.9</v>
      </c>
      <c r="J33" s="3">
        <v>36996.78</v>
      </c>
      <c r="K33" s="3">
        <v>37697.68</v>
      </c>
      <c r="L33" s="3">
        <v>456.83</v>
      </c>
      <c r="M33" s="3"/>
      <c r="N33" s="3">
        <v>-23.36</v>
      </c>
      <c r="O33" s="3"/>
    </row>
    <row r="34" spans="1:15" ht="15" customHeight="1" x14ac:dyDescent="0.25">
      <c r="A34" s="2" t="s">
        <v>80</v>
      </c>
      <c r="B34" s="2" t="s">
        <v>81</v>
      </c>
      <c r="C34" s="2" t="s">
        <v>17</v>
      </c>
      <c r="D34" s="3">
        <v>700.9</v>
      </c>
      <c r="E34" s="3">
        <v>376.59</v>
      </c>
      <c r="F34" s="3">
        <v>56.31</v>
      </c>
      <c r="G34" s="3">
        <v>-395.06</v>
      </c>
      <c r="H34" s="3">
        <v>-0.13</v>
      </c>
      <c r="I34" s="3">
        <v>625.99</v>
      </c>
      <c r="J34" s="3">
        <v>37384.71</v>
      </c>
      <c r="K34" s="3">
        <v>38010.699999999997</v>
      </c>
      <c r="L34" s="3">
        <v>376.59</v>
      </c>
      <c r="M34" s="3"/>
      <c r="N34" s="3"/>
      <c r="O34" s="3"/>
    </row>
    <row r="35" spans="1:15" ht="15" customHeight="1" x14ac:dyDescent="0.25">
      <c r="A35" s="2" t="s">
        <v>82</v>
      </c>
      <c r="B35" s="2" t="s">
        <v>83</v>
      </c>
      <c r="C35" s="2" t="s">
        <v>17</v>
      </c>
      <c r="D35" s="3">
        <v>625.99</v>
      </c>
      <c r="E35" s="3">
        <v>981.72</v>
      </c>
      <c r="F35" s="3">
        <v>76.39</v>
      </c>
      <c r="G35" s="3">
        <v>-1407.24</v>
      </c>
      <c r="H35" s="3">
        <v>-2.23</v>
      </c>
      <c r="I35" s="3">
        <v>121.85</v>
      </c>
      <c r="J35" s="3">
        <v>38731.5</v>
      </c>
      <c r="K35" s="3">
        <v>38853.35</v>
      </c>
      <c r="L35" s="3">
        <v>511.26</v>
      </c>
      <c r="M35" s="3"/>
      <c r="N35" s="3">
        <v>1.03</v>
      </c>
      <c r="O35" s="3">
        <v>0.83</v>
      </c>
    </row>
    <row r="36" spans="1:15" ht="15" customHeight="1" x14ac:dyDescent="0.25">
      <c r="A36" s="2" t="s">
        <v>84</v>
      </c>
      <c r="B36" s="2" t="s">
        <v>85</v>
      </c>
      <c r="C36" s="2" t="s">
        <v>17</v>
      </c>
      <c r="D36" s="3">
        <v>121.85</v>
      </c>
      <c r="E36" s="3">
        <v>1522.31</v>
      </c>
      <c r="F36" s="3">
        <v>53.39</v>
      </c>
      <c r="G36" s="3">
        <v>-1569.11</v>
      </c>
      <c r="H36" s="3">
        <v>-2.23</v>
      </c>
      <c r="I36" s="3">
        <v>19.43</v>
      </c>
      <c r="J36" s="3">
        <v>39259.760000000002</v>
      </c>
      <c r="K36" s="3">
        <v>39279.19</v>
      </c>
      <c r="L36" s="3">
        <v>357.43</v>
      </c>
      <c r="M36" s="3"/>
      <c r="N36" s="3"/>
      <c r="O36" s="3"/>
    </row>
    <row r="37" spans="1:15" ht="15" customHeight="1" x14ac:dyDescent="0.25">
      <c r="A37" s="2" t="s">
        <v>86</v>
      </c>
      <c r="B37" s="2" t="s">
        <v>87</v>
      </c>
      <c r="C37" s="2" t="s">
        <v>17</v>
      </c>
      <c r="D37" s="3">
        <v>19.43</v>
      </c>
      <c r="E37" s="3">
        <v>2213.6</v>
      </c>
      <c r="F37" s="3">
        <v>77.680000000000007</v>
      </c>
      <c r="G37" s="3">
        <v>-2021.57</v>
      </c>
      <c r="H37" s="3">
        <v>-2.36</v>
      </c>
      <c r="I37" s="3">
        <v>131.41999999999999</v>
      </c>
      <c r="J37" s="3">
        <v>40924.620000000003</v>
      </c>
      <c r="K37" s="3">
        <v>41056.04</v>
      </c>
      <c r="L37" s="3">
        <v>520.13</v>
      </c>
      <c r="M37" s="3"/>
      <c r="N37" s="3">
        <v>237.74</v>
      </c>
      <c r="O37" s="3">
        <v>-237.74</v>
      </c>
    </row>
    <row r="38" spans="1:15" ht="15" customHeight="1" x14ac:dyDescent="0.25">
      <c r="A38" s="2" t="s">
        <v>88</v>
      </c>
      <c r="B38" s="2" t="s">
        <v>89</v>
      </c>
      <c r="C38" s="2" t="s">
        <v>17</v>
      </c>
      <c r="D38" s="3">
        <v>131.41999999999999</v>
      </c>
      <c r="E38" s="3">
        <v>2236.0100000000002</v>
      </c>
      <c r="F38" s="3">
        <v>69.84</v>
      </c>
      <c r="G38" s="3">
        <v>-1999.65</v>
      </c>
      <c r="H38" s="3">
        <v>-2.91</v>
      </c>
      <c r="I38" s="3">
        <v>295.02999999999997</v>
      </c>
      <c r="J38" s="3">
        <v>42691.28</v>
      </c>
      <c r="K38" s="3">
        <v>42986.31</v>
      </c>
      <c r="L38" s="3">
        <v>262.41000000000003</v>
      </c>
      <c r="M38" s="3"/>
      <c r="N38" s="3">
        <v>15.49</v>
      </c>
      <c r="O38" s="3"/>
    </row>
    <row r="39" spans="1:15" ht="15" customHeight="1" x14ac:dyDescent="0.25">
      <c r="A39" s="2" t="s">
        <v>90</v>
      </c>
      <c r="B39" s="2" t="s">
        <v>91</v>
      </c>
      <c r="C39" s="2" t="s">
        <v>17</v>
      </c>
      <c r="D39" s="3">
        <v>295.02999999999997</v>
      </c>
      <c r="E39" s="3">
        <v>1755.15</v>
      </c>
      <c r="F39" s="3">
        <v>47.42</v>
      </c>
      <c r="G39" s="3">
        <v>-1836.45</v>
      </c>
      <c r="H39" s="3">
        <v>-1.92</v>
      </c>
      <c r="I39" s="3">
        <v>164.39</v>
      </c>
      <c r="J39" s="3">
        <v>43346.18</v>
      </c>
      <c r="K39" s="3">
        <v>43510.57</v>
      </c>
      <c r="L39" s="3">
        <v>317.73</v>
      </c>
      <c r="M39" s="3"/>
      <c r="N39" s="3"/>
      <c r="O39" s="3"/>
    </row>
    <row r="40" spans="1:15" ht="15" customHeight="1" x14ac:dyDescent="0.25">
      <c r="A40" s="2" t="s">
        <v>92</v>
      </c>
      <c r="B40" s="2" t="s">
        <v>93</v>
      </c>
      <c r="C40" s="2" t="s">
        <v>17</v>
      </c>
      <c r="D40" s="3">
        <v>164.39</v>
      </c>
      <c r="E40" s="3">
        <v>445.52</v>
      </c>
      <c r="F40" s="3">
        <v>44.08</v>
      </c>
      <c r="G40" s="3">
        <v>-424.69</v>
      </c>
      <c r="H40" s="3">
        <v>-4.12</v>
      </c>
      <c r="I40" s="3">
        <v>137.02000000000001</v>
      </c>
      <c r="J40" s="3">
        <v>42963.77</v>
      </c>
      <c r="K40" s="3">
        <v>43100.79</v>
      </c>
      <c r="L40" s="3">
        <v>295.52</v>
      </c>
      <c r="M40" s="3"/>
      <c r="N40" s="3">
        <v>-653.04</v>
      </c>
      <c r="O40" s="3">
        <v>-436.94</v>
      </c>
    </row>
    <row r="41" spans="1:15" ht="15" customHeight="1" x14ac:dyDescent="0.25">
      <c r="A41" s="2" t="s">
        <v>94</v>
      </c>
      <c r="B41" s="2" t="s">
        <v>95</v>
      </c>
      <c r="C41" s="2" t="s">
        <v>17</v>
      </c>
      <c r="D41" s="3">
        <v>137.02000000000001</v>
      </c>
      <c r="E41" s="3">
        <v>2917.8</v>
      </c>
      <c r="F41" s="3">
        <v>44.17</v>
      </c>
      <c r="G41" s="3">
        <v>-1360.96</v>
      </c>
      <c r="H41" s="3">
        <v>-8.66</v>
      </c>
      <c r="I41" s="3">
        <v>1641.03</v>
      </c>
      <c r="J41" s="3">
        <v>45674.74</v>
      </c>
      <c r="K41" s="3">
        <v>47315.77</v>
      </c>
      <c r="L41" s="3">
        <v>296.62</v>
      </c>
      <c r="M41" s="3"/>
      <c r="N41" s="3">
        <v>-2325.4</v>
      </c>
      <c r="O41" s="3">
        <v>-385.57</v>
      </c>
    </row>
  </sheetData>
  <autoFilter ref="A1:O4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51"/>
  <sheetViews>
    <sheetView zoomScaleNormal="100" workbookViewId="0">
      <pane ySplit="1" topLeftCell="A2" activePane="bottomLeft" state="frozen"/>
      <selection pane="bottomLeft" activeCell="E13" sqref="E13"/>
    </sheetView>
  </sheetViews>
  <sheetFormatPr defaultColWidth="8.7109375" defaultRowHeight="15" x14ac:dyDescent="0.25"/>
  <cols>
    <col min="1" max="1" width="10" customWidth="1"/>
    <col min="2" max="2" width="13" customWidth="1"/>
    <col min="3" max="3" width="45" customWidth="1"/>
    <col min="4" max="9" width="13" customWidth="1"/>
  </cols>
  <sheetData>
    <row r="1" spans="1:9" ht="15" customHeight="1" x14ac:dyDescent="0.25">
      <c r="A1" s="1" t="s">
        <v>0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</row>
    <row r="2" spans="1:9" ht="15" customHeight="1" x14ac:dyDescent="0.25">
      <c r="A2" s="2" t="s">
        <v>15</v>
      </c>
      <c r="B2" s="2" t="s">
        <v>104</v>
      </c>
      <c r="C2" s="2" t="s">
        <v>105</v>
      </c>
      <c r="D2" s="4" t="s">
        <v>106</v>
      </c>
      <c r="E2" s="3"/>
      <c r="F2" s="3">
        <v>4.0199999999999996</v>
      </c>
      <c r="G2" s="3"/>
      <c r="H2" s="3"/>
      <c r="I2" s="3"/>
    </row>
    <row r="3" spans="1:9" ht="15" customHeight="1" x14ac:dyDescent="0.25">
      <c r="A3" s="2" t="s">
        <v>15</v>
      </c>
      <c r="B3" s="2" t="s">
        <v>107</v>
      </c>
      <c r="C3" s="2" t="s">
        <v>108</v>
      </c>
      <c r="D3" s="4">
        <v>0.29756297300000001</v>
      </c>
      <c r="E3" s="3">
        <v>53.58</v>
      </c>
      <c r="F3" s="3">
        <v>15.94</v>
      </c>
      <c r="G3" s="3">
        <v>48.83</v>
      </c>
      <c r="H3" s="3">
        <v>1.41</v>
      </c>
      <c r="I3" s="3">
        <v>14.53</v>
      </c>
    </row>
    <row r="4" spans="1:9" ht="15" customHeight="1" x14ac:dyDescent="0.25">
      <c r="A4" s="2" t="s">
        <v>15</v>
      </c>
      <c r="B4" s="2" t="s">
        <v>109</v>
      </c>
      <c r="C4" s="2" t="s">
        <v>110</v>
      </c>
      <c r="D4" s="4">
        <v>1</v>
      </c>
      <c r="E4" s="3">
        <v>16.649999999999999</v>
      </c>
      <c r="F4" s="3">
        <v>16.649999999999999</v>
      </c>
      <c r="G4" s="3">
        <v>15.48</v>
      </c>
      <c r="H4" s="3">
        <v>1.17</v>
      </c>
      <c r="I4" s="3">
        <v>15.48</v>
      </c>
    </row>
    <row r="5" spans="1:9" ht="15" customHeight="1" x14ac:dyDescent="0.25">
      <c r="A5" s="2" t="s">
        <v>18</v>
      </c>
      <c r="B5" s="2" t="s">
        <v>104</v>
      </c>
      <c r="C5" s="2" t="s">
        <v>105</v>
      </c>
      <c r="D5" s="4" t="s">
        <v>106</v>
      </c>
      <c r="E5" s="3"/>
      <c r="F5" s="3">
        <v>0.01</v>
      </c>
      <c r="G5" s="3"/>
      <c r="H5" s="3"/>
      <c r="I5" s="3"/>
    </row>
    <row r="6" spans="1:9" ht="15" customHeight="1" x14ac:dyDescent="0.25">
      <c r="A6" s="2" t="s">
        <v>18</v>
      </c>
      <c r="B6" s="2" t="s">
        <v>107</v>
      </c>
      <c r="C6" s="2" t="s">
        <v>108</v>
      </c>
      <c r="D6" s="4">
        <v>1.084577801</v>
      </c>
      <c r="E6" s="3">
        <v>47.86</v>
      </c>
      <c r="F6" s="3">
        <v>51.91</v>
      </c>
      <c r="G6" s="3">
        <v>51.76</v>
      </c>
      <c r="H6" s="3">
        <v>-4.2300000000000004</v>
      </c>
      <c r="I6" s="3">
        <v>56.14</v>
      </c>
    </row>
    <row r="7" spans="1:9" ht="15" customHeight="1" x14ac:dyDescent="0.25">
      <c r="A7" s="2" t="s">
        <v>18</v>
      </c>
      <c r="B7" s="2" t="s">
        <v>109</v>
      </c>
      <c r="C7" s="2" t="s">
        <v>110</v>
      </c>
      <c r="D7" s="4">
        <v>2</v>
      </c>
      <c r="E7" s="3">
        <v>14.59</v>
      </c>
      <c r="F7" s="3">
        <v>29.18</v>
      </c>
      <c r="G7" s="3">
        <v>15.77</v>
      </c>
      <c r="H7" s="3">
        <v>-2.37</v>
      </c>
      <c r="I7" s="3">
        <v>31.55</v>
      </c>
    </row>
    <row r="8" spans="1:9" ht="15" customHeight="1" x14ac:dyDescent="0.25">
      <c r="A8" s="2" t="s">
        <v>20</v>
      </c>
      <c r="B8" s="2" t="s">
        <v>104</v>
      </c>
      <c r="C8" s="2" t="s">
        <v>105</v>
      </c>
      <c r="D8" s="4" t="s">
        <v>106</v>
      </c>
      <c r="E8" s="3"/>
      <c r="F8" s="3">
        <v>0.01</v>
      </c>
      <c r="G8" s="3"/>
      <c r="H8" s="3"/>
      <c r="I8" s="3"/>
    </row>
    <row r="9" spans="1:9" ht="15" customHeight="1" x14ac:dyDescent="0.25">
      <c r="A9" s="2" t="s">
        <v>20</v>
      </c>
      <c r="B9" s="2" t="s">
        <v>107</v>
      </c>
      <c r="C9" s="2" t="s">
        <v>108</v>
      </c>
      <c r="D9" s="4">
        <v>1.084577801</v>
      </c>
      <c r="E9" s="3">
        <v>49.89</v>
      </c>
      <c r="F9" s="3">
        <v>54.11</v>
      </c>
      <c r="G9" s="3">
        <v>51.76</v>
      </c>
      <c r="H9" s="3">
        <v>-2.0299999999999998</v>
      </c>
      <c r="I9" s="3">
        <v>56.14</v>
      </c>
    </row>
    <row r="10" spans="1:9" ht="15" customHeight="1" x14ac:dyDescent="0.25">
      <c r="A10" s="2" t="s">
        <v>20</v>
      </c>
      <c r="B10" s="2" t="s">
        <v>109</v>
      </c>
      <c r="C10" s="2" t="s">
        <v>110</v>
      </c>
      <c r="D10" s="4">
        <v>2</v>
      </c>
      <c r="E10" s="3">
        <v>15.59</v>
      </c>
      <c r="F10" s="3">
        <v>31.17</v>
      </c>
      <c r="G10" s="3">
        <v>15.77</v>
      </c>
      <c r="H10" s="3">
        <v>-0.38</v>
      </c>
      <c r="I10" s="3">
        <v>31.55</v>
      </c>
    </row>
    <row r="11" spans="1:9" ht="15" customHeight="1" x14ac:dyDescent="0.25">
      <c r="A11" s="2" t="s">
        <v>22</v>
      </c>
      <c r="B11" s="2" t="s">
        <v>104</v>
      </c>
      <c r="C11" s="2" t="s">
        <v>105</v>
      </c>
      <c r="D11" s="4" t="s">
        <v>106</v>
      </c>
      <c r="E11" s="3"/>
      <c r="F11" s="3">
        <v>0.01</v>
      </c>
      <c r="G11" s="3"/>
      <c r="H11" s="3"/>
      <c r="I11" s="3"/>
    </row>
    <row r="12" spans="1:9" ht="15" customHeight="1" x14ac:dyDescent="0.25">
      <c r="A12" s="2" t="s">
        <v>22</v>
      </c>
      <c r="B12" s="2" t="s">
        <v>107</v>
      </c>
      <c r="C12" s="2" t="s">
        <v>108</v>
      </c>
      <c r="D12" s="4">
        <v>1.084577801</v>
      </c>
      <c r="E12" s="3">
        <v>47.72</v>
      </c>
      <c r="F12" s="3">
        <v>51.76</v>
      </c>
      <c r="G12" s="3">
        <v>51.76</v>
      </c>
      <c r="H12" s="3">
        <v>-4.38</v>
      </c>
      <c r="I12" s="3">
        <v>56.14</v>
      </c>
    </row>
    <row r="13" spans="1:9" ht="15" customHeight="1" x14ac:dyDescent="0.25">
      <c r="A13" s="2" t="s">
        <v>22</v>
      </c>
      <c r="B13" s="2" t="s">
        <v>109</v>
      </c>
      <c r="C13" s="2" t="s">
        <v>110</v>
      </c>
      <c r="D13" s="4">
        <v>2</v>
      </c>
      <c r="E13" s="3">
        <v>15.39</v>
      </c>
      <c r="F13" s="3">
        <v>30.78</v>
      </c>
      <c r="G13" s="3">
        <v>15.77</v>
      </c>
      <c r="H13" s="3">
        <v>-0.77</v>
      </c>
      <c r="I13" s="3">
        <v>31.55</v>
      </c>
    </row>
    <row r="14" spans="1:9" ht="15" customHeight="1" x14ac:dyDescent="0.25">
      <c r="A14" s="2" t="s">
        <v>24</v>
      </c>
      <c r="B14" s="2" t="s">
        <v>104</v>
      </c>
      <c r="C14" s="2" t="s">
        <v>105</v>
      </c>
      <c r="D14" s="4" t="s">
        <v>106</v>
      </c>
      <c r="E14" s="3"/>
      <c r="F14" s="3">
        <v>0.01</v>
      </c>
      <c r="G14" s="3"/>
      <c r="H14" s="3"/>
      <c r="I14" s="3"/>
    </row>
    <row r="15" spans="1:9" ht="15" customHeight="1" x14ac:dyDescent="0.25">
      <c r="A15" s="2" t="s">
        <v>24</v>
      </c>
      <c r="B15" s="2" t="s">
        <v>107</v>
      </c>
      <c r="C15" s="2" t="s">
        <v>108</v>
      </c>
      <c r="D15" s="4">
        <v>1.084577801</v>
      </c>
      <c r="E15" s="3">
        <v>43.24</v>
      </c>
      <c r="F15" s="3">
        <v>46.9</v>
      </c>
      <c r="G15" s="3">
        <v>51.76</v>
      </c>
      <c r="H15" s="3">
        <v>-9.24</v>
      </c>
      <c r="I15" s="3">
        <v>56.14</v>
      </c>
    </row>
    <row r="16" spans="1:9" ht="15" customHeight="1" x14ac:dyDescent="0.25">
      <c r="A16" s="2" t="s">
        <v>24</v>
      </c>
      <c r="B16" s="2" t="s">
        <v>109</v>
      </c>
      <c r="C16" s="2" t="s">
        <v>110</v>
      </c>
      <c r="D16" s="4">
        <v>2</v>
      </c>
      <c r="E16" s="3">
        <v>15.66</v>
      </c>
      <c r="F16" s="3">
        <v>31.33</v>
      </c>
      <c r="G16" s="3">
        <v>15.77</v>
      </c>
      <c r="H16" s="3">
        <v>-0.22</v>
      </c>
      <c r="I16" s="3">
        <v>31.55</v>
      </c>
    </row>
    <row r="17" spans="1:9" ht="15" customHeight="1" x14ac:dyDescent="0.25">
      <c r="A17" s="2" t="s">
        <v>26</v>
      </c>
      <c r="B17" s="2" t="s">
        <v>104</v>
      </c>
      <c r="C17" s="2" t="s">
        <v>105</v>
      </c>
      <c r="D17" s="4" t="s">
        <v>106</v>
      </c>
      <c r="E17" s="3"/>
      <c r="F17" s="3">
        <v>0.42</v>
      </c>
      <c r="G17" s="3"/>
      <c r="H17" s="3"/>
      <c r="I17" s="3"/>
    </row>
    <row r="18" spans="1:9" ht="15" customHeight="1" x14ac:dyDescent="0.25">
      <c r="A18" s="2" t="s">
        <v>26</v>
      </c>
      <c r="B18" s="2" t="s">
        <v>107</v>
      </c>
      <c r="C18" s="2" t="s">
        <v>108</v>
      </c>
      <c r="D18" s="4">
        <v>1.084577801</v>
      </c>
      <c r="E18" s="3">
        <v>44.74</v>
      </c>
      <c r="F18" s="3">
        <v>48.52</v>
      </c>
      <c r="G18" s="3">
        <v>51.76</v>
      </c>
      <c r="H18" s="3">
        <v>-7.61</v>
      </c>
      <c r="I18" s="3">
        <v>56.14</v>
      </c>
    </row>
    <row r="19" spans="1:9" ht="15" customHeight="1" x14ac:dyDescent="0.25">
      <c r="A19" s="2" t="s">
        <v>26</v>
      </c>
      <c r="B19" s="2" t="s">
        <v>109</v>
      </c>
      <c r="C19" s="2" t="s">
        <v>110</v>
      </c>
      <c r="D19" s="4">
        <v>2</v>
      </c>
      <c r="E19" s="3">
        <v>16.61</v>
      </c>
      <c r="F19" s="3">
        <v>33.21</v>
      </c>
      <c r="G19" s="3">
        <v>15.77</v>
      </c>
      <c r="H19" s="3">
        <v>1.66</v>
      </c>
      <c r="I19" s="3">
        <v>31.55</v>
      </c>
    </row>
    <row r="20" spans="1:9" ht="15" customHeight="1" x14ac:dyDescent="0.25">
      <c r="A20" s="2" t="s">
        <v>28</v>
      </c>
      <c r="B20" s="2" t="s">
        <v>104</v>
      </c>
      <c r="C20" s="2" t="s">
        <v>105</v>
      </c>
      <c r="D20" s="4" t="s">
        <v>106</v>
      </c>
      <c r="E20" s="3"/>
      <c r="F20" s="3">
        <v>0.48</v>
      </c>
      <c r="G20" s="3"/>
      <c r="H20" s="3"/>
      <c r="I20" s="3"/>
    </row>
    <row r="21" spans="1:9" ht="15" customHeight="1" x14ac:dyDescent="0.25">
      <c r="A21" s="2" t="s">
        <v>28</v>
      </c>
      <c r="B21" s="2" t="s">
        <v>107</v>
      </c>
      <c r="C21" s="2" t="s">
        <v>108</v>
      </c>
      <c r="D21" s="4">
        <v>1.084577801</v>
      </c>
      <c r="E21" s="3">
        <v>49.8</v>
      </c>
      <c r="F21" s="3">
        <v>54.01</v>
      </c>
      <c r="G21" s="3">
        <v>51.76</v>
      </c>
      <c r="H21" s="3">
        <v>-2.13</v>
      </c>
      <c r="I21" s="3">
        <v>56.14</v>
      </c>
    </row>
    <row r="22" spans="1:9" ht="15" customHeight="1" x14ac:dyDescent="0.25">
      <c r="A22" s="2" t="s">
        <v>28</v>
      </c>
      <c r="B22" s="2" t="s">
        <v>109</v>
      </c>
      <c r="C22" s="2" t="s">
        <v>110</v>
      </c>
      <c r="D22" s="4">
        <v>2</v>
      </c>
      <c r="E22" s="3">
        <v>18.489999999999998</v>
      </c>
      <c r="F22" s="3">
        <v>36.979999999999997</v>
      </c>
      <c r="G22" s="3">
        <v>15.77</v>
      </c>
      <c r="H22" s="3">
        <v>5.43</v>
      </c>
      <c r="I22" s="3">
        <v>31.55</v>
      </c>
    </row>
    <row r="23" spans="1:9" ht="15" customHeight="1" x14ac:dyDescent="0.25">
      <c r="A23" s="2" t="s">
        <v>30</v>
      </c>
      <c r="B23" s="2" t="s">
        <v>104</v>
      </c>
      <c r="C23" s="2" t="s">
        <v>105</v>
      </c>
      <c r="D23" s="4" t="s">
        <v>106</v>
      </c>
      <c r="E23" s="3"/>
      <c r="F23" s="3">
        <v>0.48</v>
      </c>
      <c r="G23" s="3"/>
      <c r="H23" s="3"/>
      <c r="I23" s="3"/>
    </row>
    <row r="24" spans="1:9" ht="15" customHeight="1" x14ac:dyDescent="0.25">
      <c r="A24" s="2" t="s">
        <v>30</v>
      </c>
      <c r="B24" s="2" t="s">
        <v>107</v>
      </c>
      <c r="C24" s="2" t="s">
        <v>108</v>
      </c>
      <c r="D24" s="4">
        <v>1.084577801</v>
      </c>
      <c r="E24" s="3">
        <v>44.91</v>
      </c>
      <c r="F24" s="3">
        <v>48.71</v>
      </c>
      <c r="G24" s="3">
        <v>51.76</v>
      </c>
      <c r="H24" s="3">
        <v>-7.43</v>
      </c>
      <c r="I24" s="3">
        <v>56.14</v>
      </c>
    </row>
    <row r="25" spans="1:9" ht="15" customHeight="1" x14ac:dyDescent="0.25">
      <c r="A25" s="2" t="s">
        <v>30</v>
      </c>
      <c r="B25" s="2" t="s">
        <v>109</v>
      </c>
      <c r="C25" s="2" t="s">
        <v>110</v>
      </c>
      <c r="D25" s="4">
        <v>2</v>
      </c>
      <c r="E25" s="3">
        <v>18.510000000000002</v>
      </c>
      <c r="F25" s="3">
        <v>37.03</v>
      </c>
      <c r="G25" s="3">
        <v>15.77</v>
      </c>
      <c r="H25" s="3">
        <v>5.48</v>
      </c>
      <c r="I25" s="3">
        <v>31.55</v>
      </c>
    </row>
    <row r="26" spans="1:9" ht="15" customHeight="1" x14ac:dyDescent="0.25">
      <c r="A26" s="2" t="s">
        <v>32</v>
      </c>
      <c r="B26" s="2" t="s">
        <v>104</v>
      </c>
      <c r="C26" s="2" t="s">
        <v>105</v>
      </c>
      <c r="D26" s="4" t="s">
        <v>106</v>
      </c>
      <c r="E26" s="3"/>
      <c r="F26" s="3">
        <v>0.48</v>
      </c>
      <c r="G26" s="3"/>
      <c r="H26" s="3"/>
      <c r="I26" s="3"/>
    </row>
    <row r="27" spans="1:9" ht="15" customHeight="1" x14ac:dyDescent="0.25">
      <c r="A27" s="2" t="s">
        <v>32</v>
      </c>
      <c r="B27" s="2" t="s">
        <v>107</v>
      </c>
      <c r="C27" s="2" t="s">
        <v>108</v>
      </c>
      <c r="D27" s="4">
        <v>1.084577801</v>
      </c>
      <c r="E27" s="3">
        <v>43.29</v>
      </c>
      <c r="F27" s="3">
        <v>46.95</v>
      </c>
      <c r="G27" s="3">
        <v>51.76</v>
      </c>
      <c r="H27" s="3">
        <v>-9.19</v>
      </c>
      <c r="I27" s="3">
        <v>56.14</v>
      </c>
    </row>
    <row r="28" spans="1:9" ht="15" customHeight="1" x14ac:dyDescent="0.25">
      <c r="A28" s="2" t="s">
        <v>32</v>
      </c>
      <c r="B28" s="2" t="s">
        <v>109</v>
      </c>
      <c r="C28" s="2" t="s">
        <v>110</v>
      </c>
      <c r="D28" s="4">
        <v>2</v>
      </c>
      <c r="E28" s="3">
        <v>16.75</v>
      </c>
      <c r="F28" s="3">
        <v>33.49</v>
      </c>
      <c r="G28" s="3">
        <v>15.77</v>
      </c>
      <c r="H28" s="3">
        <v>1.94</v>
      </c>
      <c r="I28" s="3">
        <v>31.55</v>
      </c>
    </row>
    <row r="29" spans="1:9" ht="15" customHeight="1" x14ac:dyDescent="0.25">
      <c r="A29" s="2" t="s">
        <v>34</v>
      </c>
      <c r="B29" s="2" t="s">
        <v>104</v>
      </c>
      <c r="C29" s="2" t="s">
        <v>105</v>
      </c>
      <c r="D29" s="4" t="s">
        <v>106</v>
      </c>
      <c r="E29" s="3"/>
      <c r="F29" s="3">
        <v>0.48</v>
      </c>
      <c r="G29" s="3"/>
      <c r="H29" s="3"/>
      <c r="I29" s="3"/>
    </row>
    <row r="30" spans="1:9" ht="15" customHeight="1" x14ac:dyDescent="0.25">
      <c r="A30" s="2" t="s">
        <v>34</v>
      </c>
      <c r="B30" s="2" t="s">
        <v>107</v>
      </c>
      <c r="C30" s="2" t="s">
        <v>108</v>
      </c>
      <c r="D30" s="4">
        <v>1.084577801</v>
      </c>
      <c r="E30" s="3">
        <v>41.81</v>
      </c>
      <c r="F30" s="3">
        <v>45.35</v>
      </c>
      <c r="G30" s="3">
        <v>51.76</v>
      </c>
      <c r="H30" s="3">
        <v>-10.79</v>
      </c>
      <c r="I30" s="3">
        <v>56.14</v>
      </c>
    </row>
    <row r="31" spans="1:9" ht="15" customHeight="1" x14ac:dyDescent="0.25">
      <c r="A31" s="2" t="s">
        <v>34</v>
      </c>
      <c r="B31" s="2" t="s">
        <v>109</v>
      </c>
      <c r="C31" s="2" t="s">
        <v>110</v>
      </c>
      <c r="D31" s="4">
        <v>2</v>
      </c>
      <c r="E31" s="3">
        <v>14.29</v>
      </c>
      <c r="F31" s="3">
        <v>28.58</v>
      </c>
      <c r="G31" s="3">
        <v>15.77</v>
      </c>
      <c r="H31" s="3">
        <v>-2.97</v>
      </c>
      <c r="I31" s="3">
        <v>31.55</v>
      </c>
    </row>
    <row r="32" spans="1:9" ht="15" customHeight="1" x14ac:dyDescent="0.25">
      <c r="A32" s="2" t="s">
        <v>36</v>
      </c>
      <c r="B32" s="2" t="s">
        <v>104</v>
      </c>
      <c r="C32" s="2" t="s">
        <v>105</v>
      </c>
      <c r="D32" s="4" t="s">
        <v>106</v>
      </c>
      <c r="E32" s="3"/>
      <c r="F32" s="3">
        <v>0.48</v>
      </c>
      <c r="G32" s="3"/>
      <c r="H32" s="3"/>
      <c r="I32" s="3"/>
    </row>
    <row r="33" spans="1:9" ht="15" customHeight="1" x14ac:dyDescent="0.25">
      <c r="A33" s="2" t="s">
        <v>36</v>
      </c>
      <c r="B33" s="2" t="s">
        <v>107</v>
      </c>
      <c r="C33" s="2" t="s">
        <v>108</v>
      </c>
      <c r="D33" s="4">
        <v>1.084577801</v>
      </c>
      <c r="E33" s="3">
        <v>42.68</v>
      </c>
      <c r="F33" s="3">
        <v>46.29</v>
      </c>
      <c r="G33" s="3">
        <v>51.76</v>
      </c>
      <c r="H33" s="3">
        <v>-9.85</v>
      </c>
      <c r="I33" s="3">
        <v>56.14</v>
      </c>
    </row>
    <row r="34" spans="1:9" ht="15" customHeight="1" x14ac:dyDescent="0.25">
      <c r="A34" s="2" t="s">
        <v>36</v>
      </c>
      <c r="B34" s="2" t="s">
        <v>109</v>
      </c>
      <c r="C34" s="2" t="s">
        <v>110</v>
      </c>
      <c r="D34" s="4">
        <v>2</v>
      </c>
      <c r="E34" s="3">
        <v>16.100000000000001</v>
      </c>
      <c r="F34" s="3">
        <v>32.200000000000003</v>
      </c>
      <c r="G34" s="3">
        <v>15.77</v>
      </c>
      <c r="H34" s="3">
        <v>0.65</v>
      </c>
      <c r="I34" s="3">
        <v>31.55</v>
      </c>
    </row>
    <row r="35" spans="1:9" ht="15" customHeight="1" x14ac:dyDescent="0.25">
      <c r="A35" s="2" t="s">
        <v>38</v>
      </c>
      <c r="B35" s="2" t="s">
        <v>104</v>
      </c>
      <c r="C35" s="2" t="s">
        <v>105</v>
      </c>
      <c r="D35" s="4" t="s">
        <v>106</v>
      </c>
      <c r="E35" s="3"/>
      <c r="F35" s="3">
        <v>1.4</v>
      </c>
      <c r="G35" s="3"/>
      <c r="H35" s="3"/>
      <c r="I35" s="3"/>
    </row>
    <row r="36" spans="1:9" ht="15" customHeight="1" x14ac:dyDescent="0.25">
      <c r="A36" s="2" t="s">
        <v>38</v>
      </c>
      <c r="B36" s="2" t="s">
        <v>111</v>
      </c>
      <c r="C36" s="2" t="s">
        <v>112</v>
      </c>
      <c r="D36" s="4">
        <v>0.48281390600000001</v>
      </c>
      <c r="E36" s="3">
        <v>75.150000000000006</v>
      </c>
      <c r="F36" s="3">
        <v>36.28</v>
      </c>
      <c r="G36" s="3">
        <v>71.099999999999994</v>
      </c>
      <c r="H36" s="3">
        <v>1.95</v>
      </c>
      <c r="I36" s="3">
        <v>34.33</v>
      </c>
    </row>
    <row r="37" spans="1:9" ht="15" customHeight="1" x14ac:dyDescent="0.25">
      <c r="A37" s="2" t="s">
        <v>38</v>
      </c>
      <c r="B37" s="2" t="s">
        <v>107</v>
      </c>
      <c r="C37" s="2" t="s">
        <v>108</v>
      </c>
      <c r="D37" s="4">
        <v>1.8027389920000001</v>
      </c>
      <c r="E37" s="3">
        <v>40.74</v>
      </c>
      <c r="F37" s="3">
        <v>73.44</v>
      </c>
      <c r="G37" s="3">
        <v>47.29</v>
      </c>
      <c r="H37" s="3">
        <v>-11.81</v>
      </c>
      <c r="I37" s="3">
        <v>85.26</v>
      </c>
    </row>
    <row r="38" spans="1:9" ht="15" customHeight="1" x14ac:dyDescent="0.25">
      <c r="A38" s="2" t="s">
        <v>38</v>
      </c>
      <c r="B38" s="2" t="s">
        <v>113</v>
      </c>
      <c r="C38" s="2" t="s">
        <v>114</v>
      </c>
      <c r="D38" s="4">
        <v>1.0311635619999999</v>
      </c>
      <c r="E38" s="3">
        <v>58.14</v>
      </c>
      <c r="F38" s="3">
        <v>59.95</v>
      </c>
      <c r="G38" s="3">
        <v>54.23</v>
      </c>
      <c r="H38" s="3">
        <v>4.03</v>
      </c>
      <c r="I38" s="3">
        <v>55.92</v>
      </c>
    </row>
    <row r="39" spans="1:9" ht="15" customHeight="1" x14ac:dyDescent="0.25">
      <c r="A39" s="2" t="s">
        <v>38</v>
      </c>
      <c r="B39" s="2" t="s">
        <v>109</v>
      </c>
      <c r="C39" s="2" t="s">
        <v>110</v>
      </c>
      <c r="D39" s="4">
        <v>2</v>
      </c>
      <c r="E39" s="3">
        <v>16.579999999999998</v>
      </c>
      <c r="F39" s="3">
        <v>33.159999999999997</v>
      </c>
      <c r="G39" s="3">
        <v>15.77</v>
      </c>
      <c r="H39" s="3">
        <v>1.61</v>
      </c>
      <c r="I39" s="3">
        <v>31.55</v>
      </c>
    </row>
    <row r="40" spans="1:9" ht="15" customHeight="1" x14ac:dyDescent="0.25">
      <c r="A40" s="2" t="s">
        <v>40</v>
      </c>
      <c r="B40" s="2" t="s">
        <v>104</v>
      </c>
      <c r="C40" s="2" t="s">
        <v>105</v>
      </c>
      <c r="D40" s="4" t="s">
        <v>106</v>
      </c>
      <c r="E40" s="3"/>
      <c r="F40" s="3">
        <v>7.97</v>
      </c>
      <c r="G40" s="3"/>
      <c r="H40" s="3"/>
      <c r="I40" s="3"/>
    </row>
    <row r="41" spans="1:9" ht="15" customHeight="1" x14ac:dyDescent="0.25">
      <c r="A41" s="2" t="s">
        <v>40</v>
      </c>
      <c r="B41" s="2" t="s">
        <v>111</v>
      </c>
      <c r="C41" s="2" t="s">
        <v>112</v>
      </c>
      <c r="D41" s="4">
        <v>0.48281390600000001</v>
      </c>
      <c r="E41" s="3">
        <v>70.67</v>
      </c>
      <c r="F41" s="3">
        <v>34.119999999999997</v>
      </c>
      <c r="G41" s="3">
        <v>71.099999999999994</v>
      </c>
      <c r="H41" s="3">
        <v>-0.21</v>
      </c>
      <c r="I41" s="3">
        <v>34.33</v>
      </c>
    </row>
    <row r="42" spans="1:9" ht="15" customHeight="1" x14ac:dyDescent="0.25">
      <c r="A42" s="2" t="s">
        <v>40</v>
      </c>
      <c r="B42" s="2" t="s">
        <v>107</v>
      </c>
      <c r="C42" s="2" t="s">
        <v>108</v>
      </c>
      <c r="D42" s="4">
        <v>1.8027389920000001</v>
      </c>
      <c r="E42" s="3">
        <v>36.54</v>
      </c>
      <c r="F42" s="3">
        <v>65.87</v>
      </c>
      <c r="G42" s="3">
        <v>47.29</v>
      </c>
      <c r="H42" s="3">
        <v>-19.39</v>
      </c>
      <c r="I42" s="3">
        <v>85.26</v>
      </c>
    </row>
    <row r="43" spans="1:9" ht="15" customHeight="1" x14ac:dyDescent="0.25">
      <c r="A43" s="2" t="s">
        <v>40</v>
      </c>
      <c r="B43" s="2" t="s">
        <v>113</v>
      </c>
      <c r="C43" s="2" t="s">
        <v>114</v>
      </c>
      <c r="D43" s="4">
        <v>1.0311635619999999</v>
      </c>
      <c r="E43" s="3">
        <v>57.77</v>
      </c>
      <c r="F43" s="3">
        <v>59.57</v>
      </c>
      <c r="G43" s="3">
        <v>54.23</v>
      </c>
      <c r="H43" s="3">
        <v>3.65</v>
      </c>
      <c r="I43" s="3">
        <v>55.92</v>
      </c>
    </row>
    <row r="44" spans="1:9" ht="15" customHeight="1" x14ac:dyDescent="0.25">
      <c r="A44" s="2" t="s">
        <v>40</v>
      </c>
      <c r="B44" s="2" t="s">
        <v>109</v>
      </c>
      <c r="C44" s="2" t="s">
        <v>110</v>
      </c>
      <c r="D44" s="4">
        <v>4</v>
      </c>
      <c r="E44" s="3">
        <v>16.36</v>
      </c>
      <c r="F44" s="3">
        <v>65.44</v>
      </c>
      <c r="G44" s="3">
        <v>16.27</v>
      </c>
      <c r="H44" s="3">
        <v>0.37</v>
      </c>
      <c r="I44" s="3">
        <v>65.069999999999993</v>
      </c>
    </row>
    <row r="45" spans="1:9" ht="15" customHeight="1" x14ac:dyDescent="0.25">
      <c r="A45" s="2" t="s">
        <v>42</v>
      </c>
      <c r="B45" s="2" t="s">
        <v>104</v>
      </c>
      <c r="C45" s="2" t="s">
        <v>105</v>
      </c>
      <c r="D45" s="4" t="s">
        <v>106</v>
      </c>
      <c r="E45" s="3"/>
      <c r="F45" s="3">
        <v>7.97</v>
      </c>
      <c r="G45" s="3"/>
      <c r="H45" s="3"/>
      <c r="I45" s="3"/>
    </row>
    <row r="46" spans="1:9" ht="15" customHeight="1" x14ac:dyDescent="0.25">
      <c r="A46" s="2" t="s">
        <v>42</v>
      </c>
      <c r="B46" s="2" t="s">
        <v>111</v>
      </c>
      <c r="C46" s="2" t="s">
        <v>112</v>
      </c>
      <c r="D46" s="4">
        <v>0.48281390600000001</v>
      </c>
      <c r="E46" s="3">
        <v>141.04</v>
      </c>
      <c r="F46" s="3">
        <v>68.099999999999994</v>
      </c>
      <c r="G46" s="3">
        <v>71.099999999999994</v>
      </c>
      <c r="H46" s="3">
        <v>33.770000000000003</v>
      </c>
      <c r="I46" s="3">
        <v>34.33</v>
      </c>
    </row>
    <row r="47" spans="1:9" ht="15" customHeight="1" x14ac:dyDescent="0.25">
      <c r="A47" s="2" t="s">
        <v>42</v>
      </c>
      <c r="B47" s="2" t="s">
        <v>107</v>
      </c>
      <c r="C47" s="2" t="s">
        <v>108</v>
      </c>
      <c r="D47" s="4">
        <v>1.8027389920000001</v>
      </c>
      <c r="E47" s="3">
        <v>38.99</v>
      </c>
      <c r="F47" s="3">
        <v>70.290000000000006</v>
      </c>
      <c r="G47" s="3">
        <v>47.29</v>
      </c>
      <c r="H47" s="3">
        <v>-14.97</v>
      </c>
      <c r="I47" s="3">
        <v>85.26</v>
      </c>
    </row>
    <row r="48" spans="1:9" ht="15" customHeight="1" x14ac:dyDescent="0.25">
      <c r="A48" s="2" t="s">
        <v>42</v>
      </c>
      <c r="B48" s="2" t="s">
        <v>113</v>
      </c>
      <c r="C48" s="2" t="s">
        <v>114</v>
      </c>
      <c r="D48" s="4">
        <v>1.0311635619999999</v>
      </c>
      <c r="E48" s="3">
        <v>56.2</v>
      </c>
      <c r="F48" s="3">
        <v>57.95</v>
      </c>
      <c r="G48" s="3">
        <v>54.23</v>
      </c>
      <c r="H48" s="3">
        <v>2.0299999999999998</v>
      </c>
      <c r="I48" s="3">
        <v>55.92</v>
      </c>
    </row>
    <row r="49" spans="1:9" ht="15" customHeight="1" x14ac:dyDescent="0.25">
      <c r="A49" s="2" t="s">
        <v>42</v>
      </c>
      <c r="B49" s="2" t="s">
        <v>115</v>
      </c>
      <c r="C49" s="2" t="s">
        <v>116</v>
      </c>
      <c r="D49" s="4">
        <v>1.28167889</v>
      </c>
      <c r="E49" s="3">
        <v>110.53</v>
      </c>
      <c r="F49" s="3">
        <v>141.66</v>
      </c>
      <c r="G49" s="3">
        <v>110.17</v>
      </c>
      <c r="H49" s="3">
        <v>0.46</v>
      </c>
      <c r="I49" s="3">
        <v>141.19999999999999</v>
      </c>
    </row>
    <row r="50" spans="1:9" ht="15" customHeight="1" x14ac:dyDescent="0.25">
      <c r="A50" s="2" t="s">
        <v>42</v>
      </c>
      <c r="B50" s="2" t="s">
        <v>109</v>
      </c>
      <c r="C50" s="2" t="s">
        <v>110</v>
      </c>
      <c r="D50" s="4">
        <v>4</v>
      </c>
      <c r="E50" s="3">
        <v>17.39</v>
      </c>
      <c r="F50" s="3">
        <v>69.56</v>
      </c>
      <c r="G50" s="3">
        <v>16.27</v>
      </c>
      <c r="H50" s="3">
        <v>4.49</v>
      </c>
      <c r="I50" s="3">
        <v>65.069999999999993</v>
      </c>
    </row>
    <row r="51" spans="1:9" ht="15" customHeight="1" x14ac:dyDescent="0.25">
      <c r="A51" s="2" t="s">
        <v>44</v>
      </c>
      <c r="B51" s="2" t="s">
        <v>104</v>
      </c>
      <c r="C51" s="2" t="s">
        <v>105</v>
      </c>
      <c r="D51" s="4" t="s">
        <v>106</v>
      </c>
      <c r="E51" s="3"/>
      <c r="F51" s="3">
        <v>9.01</v>
      </c>
      <c r="G51" s="3"/>
      <c r="H51" s="3"/>
      <c r="I51" s="3"/>
    </row>
    <row r="52" spans="1:9" ht="15" customHeight="1" x14ac:dyDescent="0.25">
      <c r="A52" s="2" t="s">
        <v>44</v>
      </c>
      <c r="B52" s="2" t="s">
        <v>111</v>
      </c>
      <c r="C52" s="2" t="s">
        <v>112</v>
      </c>
      <c r="D52" s="4">
        <v>0.48281390600000001</v>
      </c>
      <c r="E52" s="3">
        <v>124.99</v>
      </c>
      <c r="F52" s="3">
        <v>60.35</v>
      </c>
      <c r="G52" s="3">
        <v>71.099999999999994</v>
      </c>
      <c r="H52" s="3">
        <v>26.02</v>
      </c>
      <c r="I52" s="3">
        <v>34.33</v>
      </c>
    </row>
    <row r="53" spans="1:9" ht="15" customHeight="1" x14ac:dyDescent="0.25">
      <c r="A53" s="2" t="s">
        <v>44</v>
      </c>
      <c r="B53" s="2" t="s">
        <v>107</v>
      </c>
      <c r="C53" s="2" t="s">
        <v>108</v>
      </c>
      <c r="D53" s="4">
        <v>1.8027389920000001</v>
      </c>
      <c r="E53" s="3">
        <v>39.729999999999997</v>
      </c>
      <c r="F53" s="3">
        <v>71.62</v>
      </c>
      <c r="G53" s="3">
        <v>47.29</v>
      </c>
      <c r="H53" s="3">
        <v>-13.64</v>
      </c>
      <c r="I53" s="3">
        <v>85.26</v>
      </c>
    </row>
    <row r="54" spans="1:9" ht="15" customHeight="1" x14ac:dyDescent="0.25">
      <c r="A54" s="2" t="s">
        <v>44</v>
      </c>
      <c r="B54" s="2" t="s">
        <v>113</v>
      </c>
      <c r="C54" s="2" t="s">
        <v>114</v>
      </c>
      <c r="D54" s="4">
        <v>1.0311635619999999</v>
      </c>
      <c r="E54" s="3">
        <v>63.1</v>
      </c>
      <c r="F54" s="3">
        <v>65.069999999999993</v>
      </c>
      <c r="G54" s="3">
        <v>54.23</v>
      </c>
      <c r="H54" s="3">
        <v>9.15</v>
      </c>
      <c r="I54" s="3">
        <v>55.92</v>
      </c>
    </row>
    <row r="55" spans="1:9" ht="15" customHeight="1" x14ac:dyDescent="0.25">
      <c r="A55" s="2" t="s">
        <v>44</v>
      </c>
      <c r="B55" s="2" t="s">
        <v>117</v>
      </c>
      <c r="C55" s="2" t="s">
        <v>118</v>
      </c>
      <c r="D55" s="4">
        <v>2.3240611960000002</v>
      </c>
      <c r="E55" s="3">
        <v>17.91</v>
      </c>
      <c r="F55" s="3">
        <v>41.62</v>
      </c>
      <c r="G55" s="3">
        <v>17.98</v>
      </c>
      <c r="H55" s="3">
        <v>-0.15</v>
      </c>
      <c r="I55" s="3">
        <v>41.77</v>
      </c>
    </row>
    <row r="56" spans="1:9" ht="15" customHeight="1" x14ac:dyDescent="0.25">
      <c r="A56" s="2" t="s">
        <v>44</v>
      </c>
      <c r="B56" s="2" t="s">
        <v>119</v>
      </c>
      <c r="C56" s="2" t="s">
        <v>120</v>
      </c>
      <c r="D56" s="4">
        <v>0.69302594100000003</v>
      </c>
      <c r="E56" s="3">
        <v>100.71</v>
      </c>
      <c r="F56" s="3">
        <v>69.790000000000006</v>
      </c>
      <c r="G56" s="3">
        <v>100.46</v>
      </c>
      <c r="H56" s="3">
        <v>0.17</v>
      </c>
      <c r="I56" s="3">
        <v>69.62</v>
      </c>
    </row>
    <row r="57" spans="1:9" ht="15" customHeight="1" x14ac:dyDescent="0.25">
      <c r="A57" s="2" t="s">
        <v>44</v>
      </c>
      <c r="B57" s="2" t="s">
        <v>115</v>
      </c>
      <c r="C57" s="2" t="s">
        <v>116</v>
      </c>
      <c r="D57" s="4">
        <v>3.0663912350000002</v>
      </c>
      <c r="E57" s="3">
        <v>110.54</v>
      </c>
      <c r="F57" s="3">
        <v>338.96</v>
      </c>
      <c r="G57" s="3">
        <v>110.2</v>
      </c>
      <c r="H57" s="3">
        <v>1.05</v>
      </c>
      <c r="I57" s="3">
        <v>337.91</v>
      </c>
    </row>
    <row r="58" spans="1:9" ht="15" customHeight="1" x14ac:dyDescent="0.25">
      <c r="A58" s="2" t="s">
        <v>44</v>
      </c>
      <c r="B58" s="2" t="s">
        <v>109</v>
      </c>
      <c r="C58" s="2" t="s">
        <v>110</v>
      </c>
      <c r="D58" s="4">
        <v>4</v>
      </c>
      <c r="E58" s="3">
        <v>17.86</v>
      </c>
      <c r="F58" s="3">
        <v>71.44</v>
      </c>
      <c r="G58" s="3">
        <v>16.27</v>
      </c>
      <c r="H58" s="3">
        <v>6.37</v>
      </c>
      <c r="I58" s="3">
        <v>65.069999999999993</v>
      </c>
    </row>
    <row r="59" spans="1:9" ht="15" customHeight="1" x14ac:dyDescent="0.25">
      <c r="A59" s="2" t="s">
        <v>46</v>
      </c>
      <c r="B59" s="2" t="s">
        <v>104</v>
      </c>
      <c r="C59" s="2" t="s">
        <v>105</v>
      </c>
      <c r="D59" s="4" t="s">
        <v>106</v>
      </c>
      <c r="E59" s="3"/>
      <c r="F59" s="3">
        <v>24.02</v>
      </c>
      <c r="G59" s="3"/>
      <c r="H59" s="3"/>
      <c r="I59" s="3"/>
    </row>
    <row r="60" spans="1:9" ht="15" customHeight="1" x14ac:dyDescent="0.25">
      <c r="A60" s="2" t="s">
        <v>46</v>
      </c>
      <c r="B60" s="2" t="s">
        <v>111</v>
      </c>
      <c r="C60" s="2" t="s">
        <v>112</v>
      </c>
      <c r="D60" s="4">
        <v>0.48281390600000001</v>
      </c>
      <c r="E60" s="3">
        <v>101.21</v>
      </c>
      <c r="F60" s="3">
        <v>48.87</v>
      </c>
      <c r="G60" s="3">
        <v>71.099999999999994</v>
      </c>
      <c r="H60" s="3">
        <v>14.54</v>
      </c>
      <c r="I60" s="3">
        <v>34.33</v>
      </c>
    </row>
    <row r="61" spans="1:9" ht="15" customHeight="1" x14ac:dyDescent="0.25">
      <c r="A61" s="2" t="s">
        <v>46</v>
      </c>
      <c r="B61" s="2" t="s">
        <v>121</v>
      </c>
      <c r="C61" s="2" t="s">
        <v>122</v>
      </c>
      <c r="D61" s="4">
        <v>15</v>
      </c>
      <c r="E61" s="3">
        <v>14.49</v>
      </c>
      <c r="F61" s="3">
        <v>217.35</v>
      </c>
      <c r="G61" s="3">
        <v>14.55</v>
      </c>
      <c r="H61" s="3">
        <v>-0.9</v>
      </c>
      <c r="I61" s="3">
        <v>218.25</v>
      </c>
    </row>
    <row r="62" spans="1:9" ht="15" customHeight="1" x14ac:dyDescent="0.25">
      <c r="A62" s="2" t="s">
        <v>46</v>
      </c>
      <c r="B62" s="2" t="s">
        <v>107</v>
      </c>
      <c r="C62" s="2" t="s">
        <v>108</v>
      </c>
      <c r="D62" s="4">
        <v>1.8027389920000001</v>
      </c>
      <c r="E62" s="3">
        <v>41.87</v>
      </c>
      <c r="F62" s="3">
        <v>75.48</v>
      </c>
      <c r="G62" s="3">
        <v>47.29</v>
      </c>
      <c r="H62" s="3">
        <v>-9.7799999999999994</v>
      </c>
      <c r="I62" s="3">
        <v>85.26</v>
      </c>
    </row>
    <row r="63" spans="1:9" ht="15" customHeight="1" x14ac:dyDescent="0.25">
      <c r="A63" s="2" t="s">
        <v>46</v>
      </c>
      <c r="B63" s="2" t="s">
        <v>113</v>
      </c>
      <c r="C63" s="2" t="s">
        <v>114</v>
      </c>
      <c r="D63" s="4">
        <v>1.0311635619999999</v>
      </c>
      <c r="E63" s="3">
        <v>59.85</v>
      </c>
      <c r="F63" s="3">
        <v>61.72</v>
      </c>
      <c r="G63" s="3">
        <v>54.23</v>
      </c>
      <c r="H63" s="3">
        <v>5.8</v>
      </c>
      <c r="I63" s="3">
        <v>55.92</v>
      </c>
    </row>
    <row r="64" spans="1:9" ht="15" customHeight="1" x14ac:dyDescent="0.25">
      <c r="A64" s="2" t="s">
        <v>46</v>
      </c>
      <c r="B64" s="2" t="s">
        <v>117</v>
      </c>
      <c r="C64" s="2" t="s">
        <v>118</v>
      </c>
      <c r="D64" s="4">
        <v>17.541234321000001</v>
      </c>
      <c r="E64" s="3">
        <v>17.41</v>
      </c>
      <c r="F64" s="3">
        <v>305.39</v>
      </c>
      <c r="G64" s="3">
        <v>17.940000000000001</v>
      </c>
      <c r="H64" s="3">
        <v>-9.3000000000000007</v>
      </c>
      <c r="I64" s="3">
        <v>314.69</v>
      </c>
    </row>
    <row r="65" spans="1:9" ht="15" customHeight="1" x14ac:dyDescent="0.25">
      <c r="A65" s="2" t="s">
        <v>46</v>
      </c>
      <c r="B65" s="2" t="s">
        <v>123</v>
      </c>
      <c r="C65" s="2" t="s">
        <v>124</v>
      </c>
      <c r="D65" s="4">
        <v>12.825266362000001</v>
      </c>
      <c r="E65" s="3">
        <v>16.32</v>
      </c>
      <c r="F65" s="3">
        <v>209.31</v>
      </c>
      <c r="G65" s="3">
        <v>16.43</v>
      </c>
      <c r="H65" s="3">
        <v>-1.35</v>
      </c>
      <c r="I65" s="3">
        <v>210.65</v>
      </c>
    </row>
    <row r="66" spans="1:9" ht="15" customHeight="1" x14ac:dyDescent="0.25">
      <c r="A66" s="2" t="s">
        <v>46</v>
      </c>
      <c r="B66" s="2" t="s">
        <v>119</v>
      </c>
      <c r="C66" s="2" t="s">
        <v>120</v>
      </c>
      <c r="D66" s="4">
        <v>0.69302594100000003</v>
      </c>
      <c r="E66" s="3">
        <v>100.7</v>
      </c>
      <c r="F66" s="3">
        <v>69.790000000000006</v>
      </c>
      <c r="G66" s="3">
        <v>100.46</v>
      </c>
      <c r="H66" s="3">
        <v>0.17</v>
      </c>
      <c r="I66" s="3">
        <v>69.62</v>
      </c>
    </row>
    <row r="67" spans="1:9" ht="15" customHeight="1" x14ac:dyDescent="0.25">
      <c r="A67" s="2" t="s">
        <v>46</v>
      </c>
      <c r="B67" s="2" t="s">
        <v>115</v>
      </c>
      <c r="C67" s="2" t="s">
        <v>116</v>
      </c>
      <c r="D67" s="4">
        <v>20.420107389000002</v>
      </c>
      <c r="E67" s="3">
        <v>110.47</v>
      </c>
      <c r="F67" s="3">
        <v>2255.81</v>
      </c>
      <c r="G67" s="3">
        <v>110.08</v>
      </c>
      <c r="H67" s="3">
        <v>7.95</v>
      </c>
      <c r="I67" s="3">
        <v>2247.86</v>
      </c>
    </row>
    <row r="68" spans="1:9" ht="15" customHeight="1" x14ac:dyDescent="0.25">
      <c r="A68" s="2" t="s">
        <v>46</v>
      </c>
      <c r="B68" s="2" t="s">
        <v>125</v>
      </c>
      <c r="C68" s="2" t="s">
        <v>126</v>
      </c>
      <c r="D68" s="4">
        <v>36</v>
      </c>
      <c r="E68" s="3">
        <v>12.77</v>
      </c>
      <c r="F68" s="3">
        <v>459.72</v>
      </c>
      <c r="G68" s="3">
        <v>13.06</v>
      </c>
      <c r="H68" s="3">
        <v>-10.3</v>
      </c>
      <c r="I68" s="3">
        <v>470.02</v>
      </c>
    </row>
    <row r="69" spans="1:9" ht="15" customHeight="1" x14ac:dyDescent="0.25">
      <c r="A69" s="2" t="s">
        <v>46</v>
      </c>
      <c r="B69" s="2" t="s">
        <v>109</v>
      </c>
      <c r="C69" s="2" t="s">
        <v>110</v>
      </c>
      <c r="D69" s="4">
        <v>4</v>
      </c>
      <c r="E69" s="3">
        <v>15.96</v>
      </c>
      <c r="F69" s="3">
        <v>63.83</v>
      </c>
      <c r="G69" s="3">
        <v>16.27</v>
      </c>
      <c r="H69" s="3">
        <v>-1.24</v>
      </c>
      <c r="I69" s="3">
        <v>65.069999999999993</v>
      </c>
    </row>
    <row r="70" spans="1:9" ht="15" customHeight="1" x14ac:dyDescent="0.25">
      <c r="A70" s="2" t="s">
        <v>48</v>
      </c>
      <c r="B70" s="2" t="s">
        <v>104</v>
      </c>
      <c r="C70" s="2" t="s">
        <v>105</v>
      </c>
      <c r="D70" s="4" t="s">
        <v>106</v>
      </c>
      <c r="E70" s="3"/>
      <c r="F70" s="3">
        <v>41.08</v>
      </c>
      <c r="G70" s="3"/>
      <c r="H70" s="3"/>
      <c r="I70" s="3"/>
    </row>
    <row r="71" spans="1:9" ht="15" customHeight="1" x14ac:dyDescent="0.25">
      <c r="A71" s="2" t="s">
        <v>48</v>
      </c>
      <c r="B71" s="2" t="s">
        <v>111</v>
      </c>
      <c r="C71" s="2" t="s">
        <v>112</v>
      </c>
      <c r="D71" s="4">
        <v>0.48281390600000001</v>
      </c>
      <c r="E71" s="3">
        <v>120.52</v>
      </c>
      <c r="F71" s="3">
        <v>58.19</v>
      </c>
      <c r="G71" s="3">
        <v>71.099999999999994</v>
      </c>
      <c r="H71" s="3">
        <v>23.86</v>
      </c>
      <c r="I71" s="3">
        <v>34.33</v>
      </c>
    </row>
    <row r="72" spans="1:9" ht="15" customHeight="1" x14ac:dyDescent="0.25">
      <c r="A72" s="2" t="s">
        <v>48</v>
      </c>
      <c r="B72" s="2" t="s">
        <v>127</v>
      </c>
      <c r="C72" s="2" t="s">
        <v>128</v>
      </c>
      <c r="D72" s="4">
        <v>38.140942242999998</v>
      </c>
      <c r="E72" s="3">
        <v>25.52</v>
      </c>
      <c r="F72" s="3">
        <v>973.36</v>
      </c>
      <c r="G72" s="3">
        <v>25.37</v>
      </c>
      <c r="H72" s="3">
        <v>5.91</v>
      </c>
      <c r="I72" s="3">
        <v>967.44</v>
      </c>
    </row>
    <row r="73" spans="1:9" ht="15" customHeight="1" x14ac:dyDescent="0.25">
      <c r="A73" s="2" t="s">
        <v>48</v>
      </c>
      <c r="B73" s="2" t="s">
        <v>121</v>
      </c>
      <c r="C73" s="2" t="s">
        <v>122</v>
      </c>
      <c r="D73" s="4">
        <v>38</v>
      </c>
      <c r="E73" s="3">
        <v>13.96</v>
      </c>
      <c r="F73" s="3">
        <v>530.48</v>
      </c>
      <c r="G73" s="3">
        <v>14.44</v>
      </c>
      <c r="H73" s="3">
        <v>-18.21</v>
      </c>
      <c r="I73" s="3">
        <v>548.69000000000005</v>
      </c>
    </row>
    <row r="74" spans="1:9" ht="15" customHeight="1" x14ac:dyDescent="0.25">
      <c r="A74" s="2" t="s">
        <v>48</v>
      </c>
      <c r="B74" s="2" t="s">
        <v>107</v>
      </c>
      <c r="C74" s="2" t="s">
        <v>108</v>
      </c>
      <c r="D74" s="4">
        <v>1.8027389920000001</v>
      </c>
      <c r="E74" s="3">
        <v>43.82</v>
      </c>
      <c r="F74" s="3">
        <v>79</v>
      </c>
      <c r="G74" s="3">
        <v>47.29</v>
      </c>
      <c r="H74" s="3">
        <v>-6.26</v>
      </c>
      <c r="I74" s="3">
        <v>85.26</v>
      </c>
    </row>
    <row r="75" spans="1:9" ht="15" customHeight="1" x14ac:dyDescent="0.25">
      <c r="A75" s="2" t="s">
        <v>48</v>
      </c>
      <c r="B75" s="2" t="s">
        <v>113</v>
      </c>
      <c r="C75" s="2" t="s">
        <v>114</v>
      </c>
      <c r="D75" s="4">
        <v>1.0311635619999999</v>
      </c>
      <c r="E75" s="3">
        <v>59.03</v>
      </c>
      <c r="F75" s="3">
        <v>60.87</v>
      </c>
      <c r="G75" s="3">
        <v>54.23</v>
      </c>
      <c r="H75" s="3">
        <v>4.95</v>
      </c>
      <c r="I75" s="3">
        <v>55.92</v>
      </c>
    </row>
    <row r="76" spans="1:9" ht="15" customHeight="1" x14ac:dyDescent="0.25">
      <c r="A76" s="2" t="s">
        <v>48</v>
      </c>
      <c r="B76" s="2" t="s">
        <v>129</v>
      </c>
      <c r="C76" s="2" t="s">
        <v>130</v>
      </c>
      <c r="D76" s="4">
        <v>4</v>
      </c>
      <c r="E76" s="3">
        <v>50.85</v>
      </c>
      <c r="F76" s="3">
        <v>203.38</v>
      </c>
      <c r="G76" s="3">
        <v>50.41</v>
      </c>
      <c r="H76" s="3">
        <v>1.75</v>
      </c>
      <c r="I76" s="3">
        <v>201.63</v>
      </c>
    </row>
    <row r="77" spans="1:9" ht="15" customHeight="1" x14ac:dyDescent="0.25">
      <c r="A77" s="2" t="s">
        <v>48</v>
      </c>
      <c r="B77" s="2" t="s">
        <v>117</v>
      </c>
      <c r="C77" s="2" t="s">
        <v>118</v>
      </c>
      <c r="D77" s="4">
        <v>17.541234321000001</v>
      </c>
      <c r="E77" s="3">
        <v>17.510000000000002</v>
      </c>
      <c r="F77" s="3">
        <v>307.14999999999998</v>
      </c>
      <c r="G77" s="3">
        <v>17.940000000000001</v>
      </c>
      <c r="H77" s="3">
        <v>-7.55</v>
      </c>
      <c r="I77" s="3">
        <v>314.69</v>
      </c>
    </row>
    <row r="78" spans="1:9" ht="15" customHeight="1" x14ac:dyDescent="0.25">
      <c r="A78" s="2" t="s">
        <v>48</v>
      </c>
      <c r="B78" s="2" t="s">
        <v>123</v>
      </c>
      <c r="C78" s="2" t="s">
        <v>124</v>
      </c>
      <c r="D78" s="4">
        <v>12.825266362000001</v>
      </c>
      <c r="E78" s="3">
        <v>16.27</v>
      </c>
      <c r="F78" s="3">
        <v>208.67</v>
      </c>
      <c r="G78" s="3">
        <v>16.43</v>
      </c>
      <c r="H78" s="3">
        <v>-1.99</v>
      </c>
      <c r="I78" s="3">
        <v>210.65</v>
      </c>
    </row>
    <row r="79" spans="1:9" ht="15" customHeight="1" x14ac:dyDescent="0.25">
      <c r="A79" s="2" t="s">
        <v>48</v>
      </c>
      <c r="B79" s="2" t="s">
        <v>119</v>
      </c>
      <c r="C79" s="2" t="s">
        <v>120</v>
      </c>
      <c r="D79" s="4">
        <v>11.969197425999999</v>
      </c>
      <c r="E79" s="3">
        <v>100.75</v>
      </c>
      <c r="F79" s="3">
        <v>1205.9000000000001</v>
      </c>
      <c r="G79" s="3">
        <v>100.31</v>
      </c>
      <c r="H79" s="3">
        <v>5.28</v>
      </c>
      <c r="I79" s="3">
        <v>1200.6199999999999</v>
      </c>
    </row>
    <row r="80" spans="1:9" ht="15" customHeight="1" x14ac:dyDescent="0.25">
      <c r="A80" s="2" t="s">
        <v>48</v>
      </c>
      <c r="B80" s="2" t="s">
        <v>115</v>
      </c>
      <c r="C80" s="2" t="s">
        <v>116</v>
      </c>
      <c r="D80" s="4">
        <v>29.590335818</v>
      </c>
      <c r="E80" s="3">
        <v>110.51</v>
      </c>
      <c r="F80" s="3">
        <v>3270.03</v>
      </c>
      <c r="G80" s="3">
        <v>110.06</v>
      </c>
      <c r="H80" s="3">
        <v>13.17</v>
      </c>
      <c r="I80" s="3">
        <v>3256.86</v>
      </c>
    </row>
    <row r="81" spans="1:9" ht="15" customHeight="1" x14ac:dyDescent="0.25">
      <c r="A81" s="2" t="s">
        <v>48</v>
      </c>
      <c r="B81" s="2" t="s">
        <v>125</v>
      </c>
      <c r="C81" s="2" t="s">
        <v>126</v>
      </c>
      <c r="D81" s="4">
        <v>39</v>
      </c>
      <c r="E81" s="3">
        <v>12.84</v>
      </c>
      <c r="F81" s="3">
        <v>500.76</v>
      </c>
      <c r="G81" s="3">
        <v>13.03</v>
      </c>
      <c r="H81" s="3">
        <v>-7.6</v>
      </c>
      <c r="I81" s="3">
        <v>508.36</v>
      </c>
    </row>
    <row r="82" spans="1:9" ht="15" customHeight="1" x14ac:dyDescent="0.25">
      <c r="A82" s="2" t="s">
        <v>48</v>
      </c>
      <c r="B82" s="2" t="s">
        <v>109</v>
      </c>
      <c r="C82" s="2" t="s">
        <v>110</v>
      </c>
      <c r="D82" s="4">
        <v>4</v>
      </c>
      <c r="E82" s="3">
        <v>16.46</v>
      </c>
      <c r="F82" s="3">
        <v>65.84</v>
      </c>
      <c r="G82" s="3">
        <v>16.27</v>
      </c>
      <c r="H82" s="3">
        <v>0.77</v>
      </c>
      <c r="I82" s="3">
        <v>65.069999999999993</v>
      </c>
    </row>
    <row r="83" spans="1:9" ht="15" customHeight="1" x14ac:dyDescent="0.25">
      <c r="A83" s="2" t="s">
        <v>50</v>
      </c>
      <c r="B83" s="2" t="s">
        <v>104</v>
      </c>
      <c r="C83" s="2" t="s">
        <v>105</v>
      </c>
      <c r="D83" s="4" t="s">
        <v>106</v>
      </c>
      <c r="E83" s="3"/>
      <c r="F83" s="3">
        <v>42.26</v>
      </c>
      <c r="G83" s="3"/>
      <c r="H83" s="3"/>
      <c r="I83" s="3"/>
    </row>
    <row r="84" spans="1:9" ht="15" customHeight="1" x14ac:dyDescent="0.25">
      <c r="A84" s="2" t="s">
        <v>50</v>
      </c>
      <c r="B84" s="2" t="s">
        <v>111</v>
      </c>
      <c r="C84" s="2" t="s">
        <v>131</v>
      </c>
      <c r="D84" s="4">
        <v>0.48281390600000001</v>
      </c>
      <c r="E84" s="3">
        <v>163.62</v>
      </c>
      <c r="F84" s="3">
        <v>79</v>
      </c>
      <c r="G84" s="3">
        <v>71.099999999999994</v>
      </c>
      <c r="H84" s="3">
        <v>44.67</v>
      </c>
      <c r="I84" s="3">
        <v>34.33</v>
      </c>
    </row>
    <row r="85" spans="1:9" ht="15" customHeight="1" x14ac:dyDescent="0.25">
      <c r="A85" s="2" t="s">
        <v>50</v>
      </c>
      <c r="B85" s="2" t="s">
        <v>127</v>
      </c>
      <c r="C85" s="2" t="s">
        <v>128</v>
      </c>
      <c r="D85" s="4">
        <v>46.723644331999999</v>
      </c>
      <c r="E85" s="3">
        <v>25.51</v>
      </c>
      <c r="F85" s="3">
        <v>1191.92</v>
      </c>
      <c r="G85" s="3">
        <v>25.37</v>
      </c>
      <c r="H85" s="3">
        <v>6.48</v>
      </c>
      <c r="I85" s="3">
        <v>1185.44</v>
      </c>
    </row>
    <row r="86" spans="1:9" ht="15" customHeight="1" x14ac:dyDescent="0.25">
      <c r="A86" s="2" t="s">
        <v>50</v>
      </c>
      <c r="B86" s="2" t="s">
        <v>132</v>
      </c>
      <c r="C86" s="2" t="s">
        <v>133</v>
      </c>
      <c r="D86" s="4">
        <v>12</v>
      </c>
      <c r="E86" s="3">
        <v>18.39</v>
      </c>
      <c r="F86" s="3">
        <v>220.72</v>
      </c>
      <c r="G86" s="3">
        <v>18.16</v>
      </c>
      <c r="H86" s="3">
        <v>2.84</v>
      </c>
      <c r="I86" s="3">
        <v>217.88</v>
      </c>
    </row>
    <row r="87" spans="1:9" ht="15" customHeight="1" x14ac:dyDescent="0.25">
      <c r="A87" s="2" t="s">
        <v>50</v>
      </c>
      <c r="B87" s="2" t="s">
        <v>134</v>
      </c>
      <c r="C87" s="2" t="s">
        <v>135</v>
      </c>
      <c r="D87" s="4">
        <v>9</v>
      </c>
      <c r="E87" s="3">
        <v>25.68</v>
      </c>
      <c r="F87" s="3">
        <v>231.08</v>
      </c>
      <c r="G87" s="3">
        <v>25.64</v>
      </c>
      <c r="H87" s="3">
        <v>0.32</v>
      </c>
      <c r="I87" s="3">
        <v>230.76</v>
      </c>
    </row>
    <row r="88" spans="1:9" ht="15" customHeight="1" x14ac:dyDescent="0.25">
      <c r="A88" s="2" t="s">
        <v>50</v>
      </c>
      <c r="B88" s="2" t="s">
        <v>121</v>
      </c>
      <c r="C88" s="2" t="s">
        <v>122</v>
      </c>
      <c r="D88" s="4">
        <v>50</v>
      </c>
      <c r="E88" s="3">
        <v>12.88</v>
      </c>
      <c r="F88" s="3">
        <v>644</v>
      </c>
      <c r="G88" s="3">
        <v>14.31</v>
      </c>
      <c r="H88" s="3">
        <v>-71.61</v>
      </c>
      <c r="I88" s="3">
        <v>715.61</v>
      </c>
    </row>
    <row r="89" spans="1:9" ht="15" customHeight="1" x14ac:dyDescent="0.25">
      <c r="A89" s="2" t="s">
        <v>50</v>
      </c>
      <c r="B89" s="2" t="s">
        <v>107</v>
      </c>
      <c r="C89" s="2" t="s">
        <v>108</v>
      </c>
      <c r="D89" s="4">
        <v>1.8027389920000001</v>
      </c>
      <c r="E89" s="3">
        <v>42.17</v>
      </c>
      <c r="F89" s="3">
        <v>76.02</v>
      </c>
      <c r="G89" s="3">
        <v>47.29</v>
      </c>
      <c r="H89" s="3">
        <v>-9.24</v>
      </c>
      <c r="I89" s="3">
        <v>85.26</v>
      </c>
    </row>
    <row r="90" spans="1:9" ht="15" customHeight="1" x14ac:dyDescent="0.25">
      <c r="A90" s="2" t="s">
        <v>50</v>
      </c>
      <c r="B90" s="2" t="s">
        <v>113</v>
      </c>
      <c r="C90" s="2" t="s">
        <v>114</v>
      </c>
      <c r="D90" s="4">
        <v>1.0311635619999999</v>
      </c>
      <c r="E90" s="3">
        <v>60.26</v>
      </c>
      <c r="F90" s="3">
        <v>62.14</v>
      </c>
      <c r="G90" s="3">
        <v>54.23</v>
      </c>
      <c r="H90" s="3">
        <v>6.22</v>
      </c>
      <c r="I90" s="3">
        <v>55.92</v>
      </c>
    </row>
    <row r="91" spans="1:9" ht="15" customHeight="1" x14ac:dyDescent="0.25">
      <c r="A91" s="2" t="s">
        <v>50</v>
      </c>
      <c r="B91" s="2" t="s">
        <v>129</v>
      </c>
      <c r="C91" s="2" t="s">
        <v>130</v>
      </c>
      <c r="D91" s="4">
        <v>6</v>
      </c>
      <c r="E91" s="3">
        <v>50.55</v>
      </c>
      <c r="F91" s="3">
        <v>303.3</v>
      </c>
      <c r="G91" s="3">
        <v>50.43</v>
      </c>
      <c r="H91" s="3">
        <v>0.74</v>
      </c>
      <c r="I91" s="3">
        <v>302.55</v>
      </c>
    </row>
    <row r="92" spans="1:9" ht="15" customHeight="1" x14ac:dyDescent="0.25">
      <c r="A92" s="2" t="s">
        <v>50</v>
      </c>
      <c r="B92" s="2" t="s">
        <v>117</v>
      </c>
      <c r="C92" s="2" t="s">
        <v>118</v>
      </c>
      <c r="D92" s="4">
        <v>17.541234321000001</v>
      </c>
      <c r="E92" s="3">
        <v>17.670000000000002</v>
      </c>
      <c r="F92" s="3">
        <v>309.95</v>
      </c>
      <c r="G92" s="3">
        <v>17.940000000000001</v>
      </c>
      <c r="H92" s="3">
        <v>-4.74</v>
      </c>
      <c r="I92" s="3">
        <v>314.69</v>
      </c>
    </row>
    <row r="93" spans="1:9" ht="15" customHeight="1" x14ac:dyDescent="0.25">
      <c r="A93" s="2" t="s">
        <v>50</v>
      </c>
      <c r="B93" s="2" t="s">
        <v>123</v>
      </c>
      <c r="C93" s="2" t="s">
        <v>124</v>
      </c>
      <c r="D93" s="4">
        <v>14.175986007000001</v>
      </c>
      <c r="E93" s="3">
        <v>16.03</v>
      </c>
      <c r="F93" s="3">
        <v>227.24</v>
      </c>
      <c r="G93" s="3">
        <v>16.41</v>
      </c>
      <c r="H93" s="3">
        <v>-5.37</v>
      </c>
      <c r="I93" s="3">
        <v>232.61</v>
      </c>
    </row>
    <row r="94" spans="1:9" ht="15" customHeight="1" x14ac:dyDescent="0.25">
      <c r="A94" s="2" t="s">
        <v>50</v>
      </c>
      <c r="B94" s="2" t="s">
        <v>119</v>
      </c>
      <c r="C94" s="2" t="s">
        <v>120</v>
      </c>
      <c r="D94" s="4">
        <v>16.524166029</v>
      </c>
      <c r="E94" s="3">
        <v>100.71</v>
      </c>
      <c r="F94" s="3">
        <v>1664.15</v>
      </c>
      <c r="G94" s="3">
        <v>100.31</v>
      </c>
      <c r="H94" s="3">
        <v>6.53</v>
      </c>
      <c r="I94" s="3">
        <v>1657.62</v>
      </c>
    </row>
    <row r="95" spans="1:9" ht="15" customHeight="1" x14ac:dyDescent="0.25">
      <c r="A95" s="2" t="s">
        <v>50</v>
      </c>
      <c r="B95" s="2" t="s">
        <v>115</v>
      </c>
      <c r="C95" s="2" t="s">
        <v>116</v>
      </c>
      <c r="D95" s="4">
        <v>35.523463202999999</v>
      </c>
      <c r="E95" s="3">
        <v>110.5</v>
      </c>
      <c r="F95" s="3">
        <v>3925.34</v>
      </c>
      <c r="G95" s="3">
        <v>110.06</v>
      </c>
      <c r="H95" s="3">
        <v>15.48</v>
      </c>
      <c r="I95" s="3">
        <v>3909.86</v>
      </c>
    </row>
    <row r="96" spans="1:9" ht="15" customHeight="1" x14ac:dyDescent="0.25">
      <c r="A96" s="2" t="s">
        <v>50</v>
      </c>
      <c r="B96" s="2" t="s">
        <v>125</v>
      </c>
      <c r="C96" s="2" t="s">
        <v>126</v>
      </c>
      <c r="D96" s="4">
        <v>39</v>
      </c>
      <c r="E96" s="3">
        <v>13.13</v>
      </c>
      <c r="F96" s="3">
        <v>512.07000000000005</v>
      </c>
      <c r="G96" s="3">
        <v>13.03</v>
      </c>
      <c r="H96" s="3">
        <v>3.71</v>
      </c>
      <c r="I96" s="3">
        <v>508.36</v>
      </c>
    </row>
    <row r="97" spans="1:9" ht="15" customHeight="1" x14ac:dyDescent="0.25">
      <c r="A97" s="2" t="s">
        <v>50</v>
      </c>
      <c r="B97" s="2" t="s">
        <v>109</v>
      </c>
      <c r="C97" s="2" t="s">
        <v>110</v>
      </c>
      <c r="D97" s="4">
        <v>4</v>
      </c>
      <c r="E97" s="3">
        <v>15.88</v>
      </c>
      <c r="F97" s="3">
        <v>63.52</v>
      </c>
      <c r="G97" s="3">
        <v>16.27</v>
      </c>
      <c r="H97" s="3">
        <v>-1.55</v>
      </c>
      <c r="I97" s="3">
        <v>65.069999999999993</v>
      </c>
    </row>
    <row r="98" spans="1:9" ht="15" customHeight="1" x14ac:dyDescent="0.25">
      <c r="A98" s="2" t="s">
        <v>50</v>
      </c>
      <c r="B98" s="2" t="s">
        <v>136</v>
      </c>
      <c r="C98" s="2" t="s">
        <v>137</v>
      </c>
      <c r="D98" s="4">
        <v>6.524491072</v>
      </c>
      <c r="E98" s="3">
        <v>25.14</v>
      </c>
      <c r="F98" s="3">
        <v>164.03</v>
      </c>
      <c r="G98" s="3">
        <v>25.1</v>
      </c>
      <c r="H98" s="3">
        <v>0.28000000000000003</v>
      </c>
      <c r="I98" s="3">
        <v>163.74</v>
      </c>
    </row>
    <row r="99" spans="1:9" ht="15" customHeight="1" x14ac:dyDescent="0.25">
      <c r="A99" s="2" t="s">
        <v>52</v>
      </c>
      <c r="B99" s="2" t="s">
        <v>104</v>
      </c>
      <c r="C99" s="2" t="s">
        <v>105</v>
      </c>
      <c r="D99" s="4" t="s">
        <v>106</v>
      </c>
      <c r="E99" s="3"/>
      <c r="F99" s="3">
        <v>7399.11</v>
      </c>
      <c r="G99" s="3"/>
      <c r="H99" s="3"/>
      <c r="I99" s="3"/>
    </row>
    <row r="100" spans="1:9" ht="15" customHeight="1" x14ac:dyDescent="0.25">
      <c r="A100" s="2" t="s">
        <v>52</v>
      </c>
      <c r="B100" s="2" t="s">
        <v>111</v>
      </c>
      <c r="C100" s="2" t="s">
        <v>131</v>
      </c>
      <c r="D100" s="4">
        <v>0.48281390600000001</v>
      </c>
      <c r="E100" s="3">
        <v>144.16999999999999</v>
      </c>
      <c r="F100" s="3">
        <v>69.61</v>
      </c>
      <c r="G100" s="3">
        <v>71.099999999999994</v>
      </c>
      <c r="H100" s="3">
        <v>35.28</v>
      </c>
      <c r="I100" s="3">
        <v>34.33</v>
      </c>
    </row>
    <row r="101" spans="1:9" ht="15" customHeight="1" x14ac:dyDescent="0.25">
      <c r="A101" s="2" t="s">
        <v>52</v>
      </c>
      <c r="B101" s="2" t="s">
        <v>138</v>
      </c>
      <c r="C101" s="2" t="s">
        <v>139</v>
      </c>
      <c r="D101" s="4">
        <v>5.5731406989999996</v>
      </c>
      <c r="E101" s="3">
        <v>30.32</v>
      </c>
      <c r="F101" s="3">
        <v>168.98</v>
      </c>
      <c r="G101" s="3">
        <v>30.46</v>
      </c>
      <c r="H101" s="3">
        <v>-0.75</v>
      </c>
      <c r="I101" s="3">
        <v>169.73</v>
      </c>
    </row>
    <row r="102" spans="1:9" ht="15" customHeight="1" x14ac:dyDescent="0.25">
      <c r="A102" s="2" t="s">
        <v>52</v>
      </c>
      <c r="B102" s="2" t="s">
        <v>140</v>
      </c>
      <c r="C102" s="2" t="s">
        <v>141</v>
      </c>
      <c r="D102" s="4">
        <v>18</v>
      </c>
      <c r="E102" s="3">
        <v>18.45</v>
      </c>
      <c r="F102" s="3">
        <v>332.1</v>
      </c>
      <c r="G102" s="3">
        <v>20.9</v>
      </c>
      <c r="H102" s="3">
        <v>-44.11</v>
      </c>
      <c r="I102" s="3">
        <v>376.21</v>
      </c>
    </row>
    <row r="103" spans="1:9" ht="15" customHeight="1" x14ac:dyDescent="0.25">
      <c r="A103" s="2" t="s">
        <v>52</v>
      </c>
      <c r="B103" s="2" t="s">
        <v>127</v>
      </c>
      <c r="C103" s="2" t="s">
        <v>128</v>
      </c>
      <c r="D103" s="4">
        <v>54.208379411000003</v>
      </c>
      <c r="E103" s="3">
        <v>25.5</v>
      </c>
      <c r="F103" s="3">
        <v>1382.31</v>
      </c>
      <c r="G103" s="3">
        <v>25.37</v>
      </c>
      <c r="H103" s="3">
        <v>6.87</v>
      </c>
      <c r="I103" s="3">
        <v>1375.44</v>
      </c>
    </row>
    <row r="104" spans="1:9" ht="15" customHeight="1" x14ac:dyDescent="0.25">
      <c r="A104" s="2" t="s">
        <v>52</v>
      </c>
      <c r="B104" s="2" t="s">
        <v>132</v>
      </c>
      <c r="C104" s="2" t="s">
        <v>133</v>
      </c>
      <c r="D104" s="4">
        <v>12</v>
      </c>
      <c r="E104" s="3">
        <v>16.66</v>
      </c>
      <c r="F104" s="3">
        <v>199.92</v>
      </c>
      <c r="G104" s="3">
        <v>18.16</v>
      </c>
      <c r="H104" s="3">
        <v>-17.96</v>
      </c>
      <c r="I104" s="3">
        <v>217.88</v>
      </c>
    </row>
    <row r="105" spans="1:9" ht="15" customHeight="1" x14ac:dyDescent="0.25">
      <c r="A105" s="2" t="s">
        <v>52</v>
      </c>
      <c r="B105" s="2" t="s">
        <v>134</v>
      </c>
      <c r="C105" s="2" t="s">
        <v>142</v>
      </c>
      <c r="D105" s="4">
        <v>45.556638720000002</v>
      </c>
      <c r="E105" s="3">
        <v>25.7</v>
      </c>
      <c r="F105" s="3">
        <v>1170.58</v>
      </c>
      <c r="G105" s="3">
        <v>25.64</v>
      </c>
      <c r="H105" s="3">
        <v>2.3199999999999998</v>
      </c>
      <c r="I105" s="3">
        <v>1168.25</v>
      </c>
    </row>
    <row r="106" spans="1:9" ht="15" customHeight="1" x14ac:dyDescent="0.25">
      <c r="A106" s="2" t="s">
        <v>52</v>
      </c>
      <c r="B106" s="2" t="s">
        <v>143</v>
      </c>
      <c r="C106" s="2" t="s">
        <v>144</v>
      </c>
      <c r="D106" s="4">
        <v>5.6400372130000003</v>
      </c>
      <c r="E106" s="3">
        <v>50.92</v>
      </c>
      <c r="F106" s="3">
        <v>287.19</v>
      </c>
      <c r="G106" s="3">
        <v>50.63</v>
      </c>
      <c r="H106" s="3">
        <v>1.65</v>
      </c>
      <c r="I106" s="3">
        <v>285.54000000000002</v>
      </c>
    </row>
    <row r="107" spans="1:9" ht="15" customHeight="1" x14ac:dyDescent="0.25">
      <c r="A107" s="2" t="s">
        <v>52</v>
      </c>
      <c r="B107" s="2" t="s">
        <v>121</v>
      </c>
      <c r="C107" s="2" t="s">
        <v>122</v>
      </c>
      <c r="D107" s="4">
        <v>72.341059729999998</v>
      </c>
      <c r="E107" s="3">
        <v>12.54</v>
      </c>
      <c r="F107" s="3">
        <v>907.16</v>
      </c>
      <c r="G107" s="3">
        <v>13.89</v>
      </c>
      <c r="H107" s="3">
        <v>-97.99</v>
      </c>
      <c r="I107" s="3">
        <v>1005.14</v>
      </c>
    </row>
    <row r="108" spans="1:9" ht="15" customHeight="1" x14ac:dyDescent="0.25">
      <c r="A108" s="2" t="s">
        <v>52</v>
      </c>
      <c r="B108" s="2" t="s">
        <v>107</v>
      </c>
      <c r="C108" s="2" t="s">
        <v>108</v>
      </c>
      <c r="D108" s="4">
        <v>1.8027389920000001</v>
      </c>
      <c r="E108" s="3">
        <v>41.52</v>
      </c>
      <c r="F108" s="3">
        <v>74.849999999999994</v>
      </c>
      <c r="G108" s="3">
        <v>47.29</v>
      </c>
      <c r="H108" s="3">
        <v>-10.41</v>
      </c>
      <c r="I108" s="3">
        <v>85.26</v>
      </c>
    </row>
    <row r="109" spans="1:9" ht="15" customHeight="1" x14ac:dyDescent="0.25">
      <c r="A109" s="2" t="s">
        <v>52</v>
      </c>
      <c r="B109" s="2" t="s">
        <v>113</v>
      </c>
      <c r="C109" s="2" t="s">
        <v>114</v>
      </c>
      <c r="D109" s="4">
        <v>1.0311635619999999</v>
      </c>
      <c r="E109" s="3">
        <v>67.680000000000007</v>
      </c>
      <c r="F109" s="3">
        <v>69.790000000000006</v>
      </c>
      <c r="G109" s="3">
        <v>54.23</v>
      </c>
      <c r="H109" s="3">
        <v>13.87</v>
      </c>
      <c r="I109" s="3">
        <v>55.92</v>
      </c>
    </row>
    <row r="110" spans="1:9" ht="15" customHeight="1" x14ac:dyDescent="0.25">
      <c r="A110" s="2" t="s">
        <v>52</v>
      </c>
      <c r="B110" s="2" t="s">
        <v>145</v>
      </c>
      <c r="C110" s="2" t="s">
        <v>146</v>
      </c>
      <c r="D110" s="4">
        <v>3.268435561</v>
      </c>
      <c r="E110" s="3">
        <v>26.65</v>
      </c>
      <c r="F110" s="3">
        <v>87.1</v>
      </c>
      <c r="G110" s="3">
        <v>29.02</v>
      </c>
      <c r="H110" s="3">
        <v>-7.75</v>
      </c>
      <c r="I110" s="3">
        <v>94.85</v>
      </c>
    </row>
    <row r="111" spans="1:9" ht="15" customHeight="1" x14ac:dyDescent="0.25">
      <c r="A111" s="2" t="s">
        <v>52</v>
      </c>
      <c r="B111" s="2" t="s">
        <v>147</v>
      </c>
      <c r="C111" s="2" t="s">
        <v>148</v>
      </c>
      <c r="D111" s="4">
        <v>1.3229356649999999</v>
      </c>
      <c r="E111" s="3">
        <v>132.63</v>
      </c>
      <c r="F111" s="3">
        <v>175.46</v>
      </c>
      <c r="G111" s="3">
        <v>128.30000000000001</v>
      </c>
      <c r="H111" s="3">
        <v>5.73</v>
      </c>
      <c r="I111" s="3">
        <v>169.73</v>
      </c>
    </row>
    <row r="112" spans="1:9" ht="15" customHeight="1" x14ac:dyDescent="0.25">
      <c r="A112" s="2" t="s">
        <v>52</v>
      </c>
      <c r="B112" s="2" t="s">
        <v>149</v>
      </c>
      <c r="C112" s="2" t="s">
        <v>150</v>
      </c>
      <c r="D112" s="4">
        <v>3.7018872780000001</v>
      </c>
      <c r="E112" s="3">
        <v>46.38</v>
      </c>
      <c r="F112" s="3">
        <v>171.69</v>
      </c>
      <c r="G112" s="3">
        <v>45.85</v>
      </c>
      <c r="H112" s="3">
        <v>1.96</v>
      </c>
      <c r="I112" s="3">
        <v>169.73</v>
      </c>
    </row>
    <row r="113" spans="1:9" ht="15" customHeight="1" x14ac:dyDescent="0.25">
      <c r="A113" s="2" t="s">
        <v>52</v>
      </c>
      <c r="B113" s="2" t="s">
        <v>129</v>
      </c>
      <c r="C113" s="2" t="s">
        <v>130</v>
      </c>
      <c r="D113" s="4">
        <v>10</v>
      </c>
      <c r="E113" s="3">
        <v>50.68</v>
      </c>
      <c r="F113" s="3">
        <v>506.75</v>
      </c>
      <c r="G113" s="3">
        <v>50.39</v>
      </c>
      <c r="H113" s="3">
        <v>2.88</v>
      </c>
      <c r="I113" s="3">
        <v>503.87</v>
      </c>
    </row>
    <row r="114" spans="1:9" ht="15" customHeight="1" x14ac:dyDescent="0.25">
      <c r="A114" s="2" t="s">
        <v>52</v>
      </c>
      <c r="B114" s="2" t="s">
        <v>117</v>
      </c>
      <c r="C114" s="2" t="s">
        <v>118</v>
      </c>
      <c r="D114" s="4">
        <v>17.541234321000001</v>
      </c>
      <c r="E114" s="3">
        <v>17.57</v>
      </c>
      <c r="F114" s="3">
        <v>308.2</v>
      </c>
      <c r="G114" s="3">
        <v>17.940000000000001</v>
      </c>
      <c r="H114" s="3">
        <v>-6.5</v>
      </c>
      <c r="I114" s="3">
        <v>314.69</v>
      </c>
    </row>
    <row r="115" spans="1:9" ht="15" customHeight="1" x14ac:dyDescent="0.25">
      <c r="A115" s="2" t="s">
        <v>52</v>
      </c>
      <c r="B115" s="2" t="s">
        <v>123</v>
      </c>
      <c r="C115" s="2" t="s">
        <v>124</v>
      </c>
      <c r="D115" s="4">
        <v>14.175986007000001</v>
      </c>
      <c r="E115" s="3">
        <v>16.23</v>
      </c>
      <c r="F115" s="3">
        <v>230.08</v>
      </c>
      <c r="G115" s="3">
        <v>16.41</v>
      </c>
      <c r="H115" s="3">
        <v>-2.54</v>
      </c>
      <c r="I115" s="3">
        <v>232.61</v>
      </c>
    </row>
    <row r="116" spans="1:9" ht="15" customHeight="1" x14ac:dyDescent="0.25">
      <c r="A116" s="2" t="s">
        <v>52</v>
      </c>
      <c r="B116" s="2" t="s">
        <v>119</v>
      </c>
      <c r="C116" s="2" t="s">
        <v>120</v>
      </c>
      <c r="D116" s="4">
        <v>19.315514639</v>
      </c>
      <c r="E116" s="3">
        <v>100.72</v>
      </c>
      <c r="F116" s="3">
        <v>1945.46</v>
      </c>
      <c r="G116" s="3">
        <v>100.31</v>
      </c>
      <c r="H116" s="3">
        <v>7.84</v>
      </c>
      <c r="I116" s="3">
        <v>1937.62</v>
      </c>
    </row>
    <row r="117" spans="1:9" ht="15" customHeight="1" x14ac:dyDescent="0.25">
      <c r="A117" s="2" t="s">
        <v>52</v>
      </c>
      <c r="B117" s="2" t="s">
        <v>115</v>
      </c>
      <c r="C117" s="2" t="s">
        <v>116</v>
      </c>
      <c r="D117" s="4">
        <v>38.976441762999997</v>
      </c>
      <c r="E117" s="3">
        <v>110.54</v>
      </c>
      <c r="F117" s="3">
        <v>4308.46</v>
      </c>
      <c r="G117" s="3">
        <v>110.06</v>
      </c>
      <c r="H117" s="3">
        <v>18.600000000000001</v>
      </c>
      <c r="I117" s="3">
        <v>4289.8599999999997</v>
      </c>
    </row>
    <row r="118" spans="1:9" ht="15" customHeight="1" x14ac:dyDescent="0.25">
      <c r="A118" s="2" t="s">
        <v>52</v>
      </c>
      <c r="B118" s="2" t="s">
        <v>125</v>
      </c>
      <c r="C118" s="2" t="s">
        <v>126</v>
      </c>
      <c r="D118" s="4">
        <v>39</v>
      </c>
      <c r="E118" s="3">
        <v>13.18</v>
      </c>
      <c r="F118" s="3">
        <v>514.02</v>
      </c>
      <c r="G118" s="3">
        <v>13.03</v>
      </c>
      <c r="H118" s="3">
        <v>5.66</v>
      </c>
      <c r="I118" s="3">
        <v>508.36</v>
      </c>
    </row>
    <row r="119" spans="1:9" ht="15" customHeight="1" x14ac:dyDescent="0.25">
      <c r="A119" s="2" t="s">
        <v>52</v>
      </c>
      <c r="B119" s="2" t="s">
        <v>109</v>
      </c>
      <c r="C119" s="2" t="s">
        <v>110</v>
      </c>
      <c r="D119" s="4">
        <v>4</v>
      </c>
      <c r="E119" s="3">
        <v>15.83</v>
      </c>
      <c r="F119" s="3">
        <v>63.3</v>
      </c>
      <c r="G119" s="3">
        <v>16.27</v>
      </c>
      <c r="H119" s="3">
        <v>-1.77</v>
      </c>
      <c r="I119" s="3">
        <v>65.069999999999993</v>
      </c>
    </row>
    <row r="120" spans="1:9" ht="15" customHeight="1" x14ac:dyDescent="0.25">
      <c r="A120" s="2" t="s">
        <v>52</v>
      </c>
      <c r="B120" s="2" t="s">
        <v>136</v>
      </c>
      <c r="C120" s="2" t="s">
        <v>151</v>
      </c>
      <c r="D120" s="4">
        <v>25.187318196</v>
      </c>
      <c r="E120" s="3">
        <v>25.12</v>
      </c>
      <c r="F120" s="3">
        <v>632.71</v>
      </c>
      <c r="G120" s="3">
        <v>25.09</v>
      </c>
      <c r="H120" s="3">
        <v>0.71</v>
      </c>
      <c r="I120" s="3">
        <v>631.99</v>
      </c>
    </row>
    <row r="121" spans="1:9" ht="15" customHeight="1" x14ac:dyDescent="0.25">
      <c r="A121" s="2" t="s">
        <v>54</v>
      </c>
      <c r="B121" s="2" t="s">
        <v>104</v>
      </c>
      <c r="C121" s="2" t="s">
        <v>105</v>
      </c>
      <c r="D121" s="4" t="s">
        <v>106</v>
      </c>
      <c r="E121" s="3"/>
      <c r="F121" s="3">
        <v>1298.9000000000001</v>
      </c>
      <c r="G121" s="3"/>
      <c r="H121" s="3"/>
      <c r="I121" s="3"/>
    </row>
    <row r="122" spans="1:9" ht="15" customHeight="1" x14ac:dyDescent="0.25">
      <c r="A122" s="2" t="s">
        <v>54</v>
      </c>
      <c r="B122" s="2" t="s">
        <v>111</v>
      </c>
      <c r="C122" s="2" t="s">
        <v>131</v>
      </c>
      <c r="D122" s="4">
        <v>0.48281390600000001</v>
      </c>
      <c r="E122" s="3">
        <v>132.88</v>
      </c>
      <c r="F122" s="3">
        <v>64.16</v>
      </c>
      <c r="G122" s="3">
        <v>71.099999999999994</v>
      </c>
      <c r="H122" s="3">
        <v>29.83</v>
      </c>
      <c r="I122" s="3">
        <v>34.33</v>
      </c>
    </row>
    <row r="123" spans="1:9" ht="15" customHeight="1" x14ac:dyDescent="0.25">
      <c r="A123" s="2" t="s">
        <v>54</v>
      </c>
      <c r="B123" s="2" t="s">
        <v>138</v>
      </c>
      <c r="C123" s="2" t="s">
        <v>139</v>
      </c>
      <c r="D123" s="4">
        <v>5.5731406989999996</v>
      </c>
      <c r="E123" s="3">
        <v>31.2</v>
      </c>
      <c r="F123" s="3">
        <v>173.88</v>
      </c>
      <c r="G123" s="3">
        <v>30.46</v>
      </c>
      <c r="H123" s="3">
        <v>4.1500000000000004</v>
      </c>
      <c r="I123" s="3">
        <v>169.73</v>
      </c>
    </row>
    <row r="124" spans="1:9" ht="15" customHeight="1" x14ac:dyDescent="0.25">
      <c r="A124" s="2" t="s">
        <v>54</v>
      </c>
      <c r="B124" s="2" t="s">
        <v>140</v>
      </c>
      <c r="C124" s="2" t="s">
        <v>141</v>
      </c>
      <c r="D124" s="4">
        <v>18</v>
      </c>
      <c r="E124" s="3">
        <v>15.12</v>
      </c>
      <c r="F124" s="3">
        <v>272.16000000000003</v>
      </c>
      <c r="G124" s="3">
        <v>20.9</v>
      </c>
      <c r="H124" s="3">
        <v>-104.05</v>
      </c>
      <c r="I124" s="3">
        <v>376.21</v>
      </c>
    </row>
    <row r="125" spans="1:9" ht="15" customHeight="1" x14ac:dyDescent="0.25">
      <c r="A125" s="2" t="s">
        <v>54</v>
      </c>
      <c r="B125" s="2" t="s">
        <v>127</v>
      </c>
      <c r="C125" s="2" t="s">
        <v>128</v>
      </c>
      <c r="D125" s="4">
        <v>73.436117787000001</v>
      </c>
      <c r="E125" s="3">
        <v>25.47</v>
      </c>
      <c r="F125" s="3">
        <v>1870.42</v>
      </c>
      <c r="G125" s="3">
        <v>25.38</v>
      </c>
      <c r="H125" s="3">
        <v>6.98</v>
      </c>
      <c r="I125" s="3">
        <v>1863.44</v>
      </c>
    </row>
    <row r="126" spans="1:9" ht="15" customHeight="1" x14ac:dyDescent="0.25">
      <c r="A126" s="2" t="s">
        <v>54</v>
      </c>
      <c r="B126" s="2" t="s">
        <v>132</v>
      </c>
      <c r="C126" s="2" t="s">
        <v>133</v>
      </c>
      <c r="D126" s="4">
        <v>20</v>
      </c>
      <c r="E126" s="3">
        <v>15.77</v>
      </c>
      <c r="F126" s="3">
        <v>315.33999999999997</v>
      </c>
      <c r="G126" s="3">
        <v>17.11</v>
      </c>
      <c r="H126" s="3">
        <v>-26.87</v>
      </c>
      <c r="I126" s="3">
        <v>342.2</v>
      </c>
    </row>
    <row r="127" spans="1:9" ht="15" customHeight="1" x14ac:dyDescent="0.25">
      <c r="A127" s="2" t="s">
        <v>54</v>
      </c>
      <c r="B127" s="2" t="s">
        <v>134</v>
      </c>
      <c r="C127" s="2" t="s">
        <v>142</v>
      </c>
      <c r="D127" s="4">
        <v>45.556638720000002</v>
      </c>
      <c r="E127" s="3">
        <v>25.66</v>
      </c>
      <c r="F127" s="3">
        <v>1168.98</v>
      </c>
      <c r="G127" s="3">
        <v>25.64</v>
      </c>
      <c r="H127" s="3">
        <v>0.73</v>
      </c>
      <c r="I127" s="3">
        <v>1168.25</v>
      </c>
    </row>
    <row r="128" spans="1:9" ht="15" customHeight="1" x14ac:dyDescent="0.25">
      <c r="A128" s="2" t="s">
        <v>54</v>
      </c>
      <c r="B128" s="2" t="s">
        <v>143</v>
      </c>
      <c r="C128" s="2" t="s">
        <v>144</v>
      </c>
      <c r="D128" s="4">
        <v>28.701050925000001</v>
      </c>
      <c r="E128" s="3">
        <v>50.91</v>
      </c>
      <c r="F128" s="3">
        <v>1461.17</v>
      </c>
      <c r="G128" s="3">
        <v>50.68</v>
      </c>
      <c r="H128" s="3">
        <v>6.51</v>
      </c>
      <c r="I128" s="3">
        <v>1454.66</v>
      </c>
    </row>
    <row r="129" spans="1:9" ht="15" customHeight="1" x14ac:dyDescent="0.25">
      <c r="A129" s="2" t="s">
        <v>54</v>
      </c>
      <c r="B129" s="2" t="s">
        <v>121</v>
      </c>
      <c r="C129" s="2" t="s">
        <v>122</v>
      </c>
      <c r="D129" s="4">
        <v>92.870068958000004</v>
      </c>
      <c r="E129" s="3">
        <v>12.2</v>
      </c>
      <c r="F129" s="3">
        <v>1133.01</v>
      </c>
      <c r="G129" s="3">
        <v>13.51</v>
      </c>
      <c r="H129" s="3">
        <v>-121.72</v>
      </c>
      <c r="I129" s="3">
        <v>1254.74</v>
      </c>
    </row>
    <row r="130" spans="1:9" ht="15" customHeight="1" x14ac:dyDescent="0.25">
      <c r="A130" s="2" t="s">
        <v>54</v>
      </c>
      <c r="B130" s="2" t="s">
        <v>107</v>
      </c>
      <c r="C130" s="2" t="s">
        <v>108</v>
      </c>
      <c r="D130" s="4">
        <v>1.8027389920000001</v>
      </c>
      <c r="E130" s="3">
        <v>41.83</v>
      </c>
      <c r="F130" s="3">
        <v>75.41</v>
      </c>
      <c r="G130" s="3">
        <v>47.29</v>
      </c>
      <c r="H130" s="3">
        <v>-9.85</v>
      </c>
      <c r="I130" s="3">
        <v>85.26</v>
      </c>
    </row>
    <row r="131" spans="1:9" ht="15" customHeight="1" x14ac:dyDescent="0.25">
      <c r="A131" s="2" t="s">
        <v>54</v>
      </c>
      <c r="B131" s="2" t="s">
        <v>152</v>
      </c>
      <c r="C131" s="2" t="s">
        <v>153</v>
      </c>
      <c r="D131" s="4">
        <v>11</v>
      </c>
      <c r="E131" s="3">
        <v>23.2</v>
      </c>
      <c r="F131" s="3">
        <v>255.2</v>
      </c>
      <c r="G131" s="3">
        <v>23</v>
      </c>
      <c r="H131" s="3">
        <v>2.2000000000000002</v>
      </c>
      <c r="I131" s="3">
        <v>253</v>
      </c>
    </row>
    <row r="132" spans="1:9" ht="15" customHeight="1" x14ac:dyDescent="0.25">
      <c r="A132" s="2" t="s">
        <v>54</v>
      </c>
      <c r="B132" s="2" t="s">
        <v>113</v>
      </c>
      <c r="C132" s="2" t="s">
        <v>114</v>
      </c>
      <c r="D132" s="4">
        <v>1.0311635619999999</v>
      </c>
      <c r="E132" s="3">
        <v>72.08</v>
      </c>
      <c r="F132" s="3">
        <v>74.33</v>
      </c>
      <c r="G132" s="3">
        <v>54.23</v>
      </c>
      <c r="H132" s="3">
        <v>18.41</v>
      </c>
      <c r="I132" s="3">
        <v>55.92</v>
      </c>
    </row>
    <row r="133" spans="1:9" ht="15" customHeight="1" x14ac:dyDescent="0.25">
      <c r="A133" s="2" t="s">
        <v>54</v>
      </c>
      <c r="B133" s="2" t="s">
        <v>145</v>
      </c>
      <c r="C133" s="2" t="s">
        <v>146</v>
      </c>
      <c r="D133" s="4">
        <v>3.548793608</v>
      </c>
      <c r="E133" s="3">
        <v>25.4</v>
      </c>
      <c r="F133" s="3">
        <v>90.14</v>
      </c>
      <c r="G133" s="3">
        <v>28.6</v>
      </c>
      <c r="H133" s="3">
        <v>-11.35</v>
      </c>
      <c r="I133" s="3">
        <v>101.49</v>
      </c>
    </row>
    <row r="134" spans="1:9" ht="15" customHeight="1" x14ac:dyDescent="0.25">
      <c r="A134" s="2" t="s">
        <v>54</v>
      </c>
      <c r="B134" s="2" t="s">
        <v>147</v>
      </c>
      <c r="C134" s="2" t="s">
        <v>148</v>
      </c>
      <c r="D134" s="4">
        <v>1.3229356649999999</v>
      </c>
      <c r="E134" s="3">
        <v>139.16</v>
      </c>
      <c r="F134" s="3">
        <v>184.1</v>
      </c>
      <c r="G134" s="3">
        <v>128.30000000000001</v>
      </c>
      <c r="H134" s="3">
        <v>14.37</v>
      </c>
      <c r="I134" s="3">
        <v>169.73</v>
      </c>
    </row>
    <row r="135" spans="1:9" ht="15" customHeight="1" x14ac:dyDescent="0.25">
      <c r="A135" s="2" t="s">
        <v>54</v>
      </c>
      <c r="B135" s="2" t="s">
        <v>154</v>
      </c>
      <c r="C135" s="2" t="s">
        <v>155</v>
      </c>
      <c r="D135" s="4">
        <v>2.7437819060000002</v>
      </c>
      <c r="E135" s="3">
        <v>62.11</v>
      </c>
      <c r="F135" s="3">
        <v>170.42</v>
      </c>
      <c r="G135" s="3">
        <v>61.86</v>
      </c>
      <c r="H135" s="3">
        <v>0.69</v>
      </c>
      <c r="I135" s="3">
        <v>169.73</v>
      </c>
    </row>
    <row r="136" spans="1:9" ht="15" customHeight="1" x14ac:dyDescent="0.25">
      <c r="A136" s="2" t="s">
        <v>54</v>
      </c>
      <c r="B136" s="2" t="s">
        <v>149</v>
      </c>
      <c r="C136" s="2" t="s">
        <v>150</v>
      </c>
      <c r="D136" s="4">
        <v>3.7018872780000001</v>
      </c>
      <c r="E136" s="3">
        <v>47.58</v>
      </c>
      <c r="F136" s="3">
        <v>176.14</v>
      </c>
      <c r="G136" s="3">
        <v>45.85</v>
      </c>
      <c r="H136" s="3">
        <v>6.41</v>
      </c>
      <c r="I136" s="3">
        <v>169.73</v>
      </c>
    </row>
    <row r="137" spans="1:9" ht="15" customHeight="1" x14ac:dyDescent="0.25">
      <c r="A137" s="2" t="s">
        <v>54</v>
      </c>
      <c r="B137" s="2" t="s">
        <v>129</v>
      </c>
      <c r="C137" s="2" t="s">
        <v>130</v>
      </c>
      <c r="D137" s="4">
        <v>29</v>
      </c>
      <c r="E137" s="3">
        <v>50.72</v>
      </c>
      <c r="F137" s="3">
        <v>1470.91</v>
      </c>
      <c r="G137" s="3">
        <v>50.36</v>
      </c>
      <c r="H137" s="3">
        <v>10.39</v>
      </c>
      <c r="I137" s="3">
        <v>1460.52</v>
      </c>
    </row>
    <row r="138" spans="1:9" ht="15" customHeight="1" x14ac:dyDescent="0.25">
      <c r="A138" s="2" t="s">
        <v>54</v>
      </c>
      <c r="B138" s="2" t="s">
        <v>117</v>
      </c>
      <c r="C138" s="2" t="s">
        <v>118</v>
      </c>
      <c r="D138" s="4">
        <v>17.541234321000001</v>
      </c>
      <c r="E138" s="3">
        <v>17.89</v>
      </c>
      <c r="F138" s="3">
        <v>313.81</v>
      </c>
      <c r="G138" s="3">
        <v>17.940000000000001</v>
      </c>
      <c r="H138" s="3">
        <v>-0.88</v>
      </c>
      <c r="I138" s="3">
        <v>314.69</v>
      </c>
    </row>
    <row r="139" spans="1:9" ht="15" customHeight="1" x14ac:dyDescent="0.25">
      <c r="A139" s="2" t="s">
        <v>54</v>
      </c>
      <c r="B139" s="2" t="s">
        <v>123</v>
      </c>
      <c r="C139" s="2" t="s">
        <v>124</v>
      </c>
      <c r="D139" s="4">
        <v>14.175986007000001</v>
      </c>
      <c r="E139" s="3">
        <v>16.170000000000002</v>
      </c>
      <c r="F139" s="3">
        <v>229.23</v>
      </c>
      <c r="G139" s="3">
        <v>16.41</v>
      </c>
      <c r="H139" s="3">
        <v>-3.39</v>
      </c>
      <c r="I139" s="3">
        <v>232.61</v>
      </c>
    </row>
    <row r="140" spans="1:9" ht="15" customHeight="1" x14ac:dyDescent="0.25">
      <c r="A140" s="2" t="s">
        <v>54</v>
      </c>
      <c r="B140" s="2" t="s">
        <v>119</v>
      </c>
      <c r="C140" s="2" t="s">
        <v>120</v>
      </c>
      <c r="D140" s="4">
        <v>33.902203759000002</v>
      </c>
      <c r="E140" s="3">
        <v>100.74</v>
      </c>
      <c r="F140" s="3">
        <v>3415.31</v>
      </c>
      <c r="G140" s="3">
        <v>100.31</v>
      </c>
      <c r="H140" s="3">
        <v>14.69</v>
      </c>
      <c r="I140" s="3">
        <v>3400.62</v>
      </c>
    </row>
    <row r="141" spans="1:9" ht="15" customHeight="1" x14ac:dyDescent="0.25">
      <c r="A141" s="2" t="s">
        <v>54</v>
      </c>
      <c r="B141" s="2" t="s">
        <v>115</v>
      </c>
      <c r="C141" s="2" t="s">
        <v>116</v>
      </c>
      <c r="D141" s="4">
        <v>47.842151366000003</v>
      </c>
      <c r="E141" s="3">
        <v>110.6</v>
      </c>
      <c r="F141" s="3">
        <v>5291.34</v>
      </c>
      <c r="G141" s="3">
        <v>110.07</v>
      </c>
      <c r="H141" s="3">
        <v>25.49</v>
      </c>
      <c r="I141" s="3">
        <v>5265.86</v>
      </c>
    </row>
    <row r="142" spans="1:9" ht="15" customHeight="1" x14ac:dyDescent="0.25">
      <c r="A142" s="2" t="s">
        <v>54</v>
      </c>
      <c r="B142" s="2" t="s">
        <v>156</v>
      </c>
      <c r="C142" s="2" t="s">
        <v>157</v>
      </c>
      <c r="D142" s="4">
        <v>15.520319786</v>
      </c>
      <c r="E142" s="3">
        <v>22.41</v>
      </c>
      <c r="F142" s="3">
        <v>347.81</v>
      </c>
      <c r="G142" s="3">
        <v>22.52</v>
      </c>
      <c r="H142" s="3">
        <v>-1.63</v>
      </c>
      <c r="I142" s="3">
        <v>349.44</v>
      </c>
    </row>
    <row r="143" spans="1:9" ht="15" customHeight="1" x14ac:dyDescent="0.25">
      <c r="A143" s="2" t="s">
        <v>54</v>
      </c>
      <c r="B143" s="2" t="s">
        <v>125</v>
      </c>
      <c r="C143" s="2" t="s">
        <v>126</v>
      </c>
      <c r="D143" s="4">
        <v>39</v>
      </c>
      <c r="E143" s="3">
        <v>13.29</v>
      </c>
      <c r="F143" s="3">
        <v>518.30999999999995</v>
      </c>
      <c r="G143" s="3">
        <v>13.03</v>
      </c>
      <c r="H143" s="3">
        <v>9.9499999999999993</v>
      </c>
      <c r="I143" s="3">
        <v>508.36</v>
      </c>
    </row>
    <row r="144" spans="1:9" ht="15" customHeight="1" x14ac:dyDescent="0.25">
      <c r="A144" s="2" t="s">
        <v>54</v>
      </c>
      <c r="B144" s="2" t="s">
        <v>109</v>
      </c>
      <c r="C144" s="2" t="s">
        <v>110</v>
      </c>
      <c r="D144" s="4">
        <v>4</v>
      </c>
      <c r="E144" s="3">
        <v>16.350000000000001</v>
      </c>
      <c r="F144" s="3">
        <v>65.38</v>
      </c>
      <c r="G144" s="3">
        <v>16.27</v>
      </c>
      <c r="H144" s="3">
        <v>0.31</v>
      </c>
      <c r="I144" s="3">
        <v>65.069999999999993</v>
      </c>
    </row>
    <row r="145" spans="1:9" ht="15" customHeight="1" x14ac:dyDescent="0.25">
      <c r="A145" s="2" t="s">
        <v>54</v>
      </c>
      <c r="B145" s="2" t="s">
        <v>136</v>
      </c>
      <c r="C145" s="2" t="s">
        <v>151</v>
      </c>
      <c r="D145" s="4">
        <v>25.187318196</v>
      </c>
      <c r="E145" s="3">
        <v>25.11</v>
      </c>
      <c r="F145" s="3">
        <v>632.45000000000005</v>
      </c>
      <c r="G145" s="3">
        <v>25.09</v>
      </c>
      <c r="H145" s="3">
        <v>0.46</v>
      </c>
      <c r="I145" s="3">
        <v>631.99</v>
      </c>
    </row>
    <row r="146" spans="1:9" ht="15" customHeight="1" x14ac:dyDescent="0.25">
      <c r="A146" s="2" t="s">
        <v>56</v>
      </c>
      <c r="B146" s="2" t="s">
        <v>104</v>
      </c>
      <c r="C146" s="2" t="s">
        <v>105</v>
      </c>
      <c r="D146" s="4" t="s">
        <v>106</v>
      </c>
      <c r="E146" s="3"/>
      <c r="F146" s="3">
        <v>2809.19</v>
      </c>
      <c r="G146" s="3"/>
      <c r="H146" s="3"/>
      <c r="I146" s="3"/>
    </row>
    <row r="147" spans="1:9" ht="15" customHeight="1" x14ac:dyDescent="0.25">
      <c r="A147" s="2" t="s">
        <v>56</v>
      </c>
      <c r="B147" s="2" t="s">
        <v>111</v>
      </c>
      <c r="C147" s="2" t="s">
        <v>131</v>
      </c>
      <c r="D147" s="4">
        <v>0.48281390600000001</v>
      </c>
      <c r="E147" s="3">
        <v>143.01</v>
      </c>
      <c r="F147" s="3">
        <v>69.05</v>
      </c>
      <c r="G147" s="3">
        <v>71.099999999999994</v>
      </c>
      <c r="H147" s="3">
        <v>34.72</v>
      </c>
      <c r="I147" s="3">
        <v>34.33</v>
      </c>
    </row>
    <row r="148" spans="1:9" ht="15" customHeight="1" x14ac:dyDescent="0.25">
      <c r="A148" s="2" t="s">
        <v>56</v>
      </c>
      <c r="B148" s="2" t="s">
        <v>138</v>
      </c>
      <c r="C148" s="2" t="s">
        <v>139</v>
      </c>
      <c r="D148" s="4">
        <v>5.5731406989999996</v>
      </c>
      <c r="E148" s="3">
        <v>32.520000000000003</v>
      </c>
      <c r="F148" s="3">
        <v>181.24</v>
      </c>
      <c r="G148" s="3">
        <v>30.46</v>
      </c>
      <c r="H148" s="3">
        <v>11.51</v>
      </c>
      <c r="I148" s="3">
        <v>169.73</v>
      </c>
    </row>
    <row r="149" spans="1:9" ht="15" customHeight="1" x14ac:dyDescent="0.25">
      <c r="A149" s="2" t="s">
        <v>56</v>
      </c>
      <c r="B149" s="2" t="s">
        <v>140</v>
      </c>
      <c r="C149" s="2" t="s">
        <v>141</v>
      </c>
      <c r="D149" s="4">
        <v>18</v>
      </c>
      <c r="E149" s="3">
        <v>13.4</v>
      </c>
      <c r="F149" s="3">
        <v>241.2</v>
      </c>
      <c r="G149" s="3">
        <v>20.9</v>
      </c>
      <c r="H149" s="3">
        <v>-135.01</v>
      </c>
      <c r="I149" s="3">
        <v>376.21</v>
      </c>
    </row>
    <row r="150" spans="1:9" ht="15" customHeight="1" x14ac:dyDescent="0.25">
      <c r="A150" s="2" t="s">
        <v>56</v>
      </c>
      <c r="B150" s="2" t="s">
        <v>127</v>
      </c>
      <c r="C150" s="2" t="s">
        <v>128</v>
      </c>
      <c r="D150" s="4">
        <v>73.436117787000001</v>
      </c>
      <c r="E150" s="3">
        <v>25.47</v>
      </c>
      <c r="F150" s="3">
        <v>1870.42</v>
      </c>
      <c r="G150" s="3">
        <v>25.38</v>
      </c>
      <c r="H150" s="3">
        <v>6.98</v>
      </c>
      <c r="I150" s="3">
        <v>1863.44</v>
      </c>
    </row>
    <row r="151" spans="1:9" ht="15" customHeight="1" x14ac:dyDescent="0.25">
      <c r="A151" s="2" t="s">
        <v>56</v>
      </c>
      <c r="B151" s="2" t="s">
        <v>132</v>
      </c>
      <c r="C151" s="2" t="s">
        <v>133</v>
      </c>
      <c r="D151" s="4">
        <v>20</v>
      </c>
      <c r="E151" s="3">
        <v>15.49</v>
      </c>
      <c r="F151" s="3">
        <v>309.8</v>
      </c>
      <c r="G151" s="3">
        <v>17.11</v>
      </c>
      <c r="H151" s="3">
        <v>-32.4</v>
      </c>
      <c r="I151" s="3">
        <v>342.2</v>
      </c>
    </row>
    <row r="152" spans="1:9" ht="15" customHeight="1" x14ac:dyDescent="0.25">
      <c r="A152" s="2" t="s">
        <v>56</v>
      </c>
      <c r="B152" s="2" t="s">
        <v>134</v>
      </c>
      <c r="C152" s="2" t="s">
        <v>142</v>
      </c>
      <c r="D152" s="4">
        <v>52.666026719999998</v>
      </c>
      <c r="E152" s="3">
        <v>25.64</v>
      </c>
      <c r="F152" s="3">
        <v>1350.36</v>
      </c>
      <c r="G152" s="3">
        <v>25.64</v>
      </c>
      <c r="H152" s="3">
        <v>0.1</v>
      </c>
      <c r="I152" s="3">
        <v>1350.25</v>
      </c>
    </row>
    <row r="153" spans="1:9" ht="15" customHeight="1" x14ac:dyDescent="0.25">
      <c r="A153" s="2" t="s">
        <v>56</v>
      </c>
      <c r="B153" s="2" t="s">
        <v>143</v>
      </c>
      <c r="C153" s="2" t="s">
        <v>144</v>
      </c>
      <c r="D153" s="4">
        <v>28.701050925000001</v>
      </c>
      <c r="E153" s="3">
        <v>50.88</v>
      </c>
      <c r="F153" s="3">
        <v>1460.31</v>
      </c>
      <c r="G153" s="3">
        <v>50.68</v>
      </c>
      <c r="H153" s="3">
        <v>5.65</v>
      </c>
      <c r="I153" s="3">
        <v>1454.66</v>
      </c>
    </row>
    <row r="154" spans="1:9" ht="15" customHeight="1" x14ac:dyDescent="0.25">
      <c r="A154" s="2" t="s">
        <v>56</v>
      </c>
      <c r="B154" s="2" t="s">
        <v>121</v>
      </c>
      <c r="C154" s="2" t="s">
        <v>122</v>
      </c>
      <c r="D154" s="4">
        <v>92.870068958000004</v>
      </c>
      <c r="E154" s="3">
        <v>12.33</v>
      </c>
      <c r="F154" s="3">
        <v>1145.0899999999999</v>
      </c>
      <c r="G154" s="3">
        <v>13.51</v>
      </c>
      <c r="H154" s="3">
        <v>-109.65</v>
      </c>
      <c r="I154" s="3">
        <v>1254.74</v>
      </c>
    </row>
    <row r="155" spans="1:9" ht="15" customHeight="1" x14ac:dyDescent="0.25">
      <c r="A155" s="2" t="s">
        <v>56</v>
      </c>
      <c r="B155" s="2" t="s">
        <v>107</v>
      </c>
      <c r="C155" s="2" t="s">
        <v>108</v>
      </c>
      <c r="D155" s="4">
        <v>1.8027389920000001</v>
      </c>
      <c r="E155" s="3">
        <v>50.91</v>
      </c>
      <c r="F155" s="3">
        <v>91.78</v>
      </c>
      <c r="G155" s="3">
        <v>47.29</v>
      </c>
      <c r="H155" s="3">
        <v>6.52</v>
      </c>
      <c r="I155" s="3">
        <v>85.26</v>
      </c>
    </row>
    <row r="156" spans="1:9" ht="15" customHeight="1" x14ac:dyDescent="0.25">
      <c r="A156" s="2" t="s">
        <v>56</v>
      </c>
      <c r="B156" s="2" t="s">
        <v>152</v>
      </c>
      <c r="C156" s="2" t="s">
        <v>153</v>
      </c>
      <c r="D156" s="4">
        <v>11</v>
      </c>
      <c r="E156" s="3">
        <v>25.13</v>
      </c>
      <c r="F156" s="3">
        <v>276.43</v>
      </c>
      <c r="G156" s="3">
        <v>23</v>
      </c>
      <c r="H156" s="3">
        <v>23.43</v>
      </c>
      <c r="I156" s="3">
        <v>253</v>
      </c>
    </row>
    <row r="157" spans="1:9" ht="15" customHeight="1" x14ac:dyDescent="0.25">
      <c r="A157" s="2" t="s">
        <v>56</v>
      </c>
      <c r="B157" s="2" t="s">
        <v>113</v>
      </c>
      <c r="C157" s="2" t="s">
        <v>114</v>
      </c>
      <c r="D157" s="4">
        <v>1.0311635619999999</v>
      </c>
      <c r="E157" s="3">
        <v>73.010000000000005</v>
      </c>
      <c r="F157" s="3">
        <v>75.290000000000006</v>
      </c>
      <c r="G157" s="3">
        <v>54.23</v>
      </c>
      <c r="H157" s="3">
        <v>19.37</v>
      </c>
      <c r="I157" s="3">
        <v>55.92</v>
      </c>
    </row>
    <row r="158" spans="1:9" ht="15" customHeight="1" x14ac:dyDescent="0.25">
      <c r="A158" s="2" t="s">
        <v>56</v>
      </c>
      <c r="B158" s="2" t="s">
        <v>145</v>
      </c>
      <c r="C158" s="2" t="s">
        <v>146</v>
      </c>
      <c r="D158" s="4">
        <v>3.548793608</v>
      </c>
      <c r="E158" s="3">
        <v>23.96</v>
      </c>
      <c r="F158" s="3">
        <v>85.03</v>
      </c>
      <c r="G158" s="3">
        <v>28.6</v>
      </c>
      <c r="H158" s="3">
        <v>-16.46</v>
      </c>
      <c r="I158" s="3">
        <v>101.49</v>
      </c>
    </row>
    <row r="159" spans="1:9" ht="15" customHeight="1" x14ac:dyDescent="0.25">
      <c r="A159" s="2" t="s">
        <v>56</v>
      </c>
      <c r="B159" s="2" t="s">
        <v>147</v>
      </c>
      <c r="C159" s="2" t="s">
        <v>148</v>
      </c>
      <c r="D159" s="4">
        <v>1.3229356649999999</v>
      </c>
      <c r="E159" s="3">
        <v>119.07</v>
      </c>
      <c r="F159" s="3">
        <v>157.52000000000001</v>
      </c>
      <c r="G159" s="3">
        <v>128.30000000000001</v>
      </c>
      <c r="H159" s="3">
        <v>-12.21</v>
      </c>
      <c r="I159" s="3">
        <v>169.73</v>
      </c>
    </row>
    <row r="160" spans="1:9" ht="15" customHeight="1" x14ac:dyDescent="0.25">
      <c r="A160" s="2" t="s">
        <v>56</v>
      </c>
      <c r="B160" s="2" t="s">
        <v>154</v>
      </c>
      <c r="C160" s="2" t="s">
        <v>155</v>
      </c>
      <c r="D160" s="4">
        <v>2.7437819060000002</v>
      </c>
      <c r="E160" s="3">
        <v>63.42</v>
      </c>
      <c r="F160" s="3">
        <v>174.01</v>
      </c>
      <c r="G160" s="3">
        <v>61.86</v>
      </c>
      <c r="H160" s="3">
        <v>4.28</v>
      </c>
      <c r="I160" s="3">
        <v>169.73</v>
      </c>
    </row>
    <row r="161" spans="1:9" ht="15" customHeight="1" x14ac:dyDescent="0.25">
      <c r="A161" s="2" t="s">
        <v>56</v>
      </c>
      <c r="B161" s="2" t="s">
        <v>149</v>
      </c>
      <c r="C161" s="2" t="s">
        <v>150</v>
      </c>
      <c r="D161" s="4">
        <v>3.7018872780000001</v>
      </c>
      <c r="E161" s="3">
        <v>48.35</v>
      </c>
      <c r="F161" s="3">
        <v>178.99</v>
      </c>
      <c r="G161" s="3">
        <v>45.85</v>
      </c>
      <c r="H161" s="3">
        <v>9.26</v>
      </c>
      <c r="I161" s="3">
        <v>169.73</v>
      </c>
    </row>
    <row r="162" spans="1:9" ht="15" customHeight="1" x14ac:dyDescent="0.25">
      <c r="A162" s="2" t="s">
        <v>56</v>
      </c>
      <c r="B162" s="2" t="s">
        <v>129</v>
      </c>
      <c r="C162" s="2" t="s">
        <v>130</v>
      </c>
      <c r="D162" s="4">
        <v>29</v>
      </c>
      <c r="E162" s="3">
        <v>50.67</v>
      </c>
      <c r="F162" s="3">
        <v>1469.52</v>
      </c>
      <c r="G162" s="3">
        <v>50.36</v>
      </c>
      <c r="H162" s="3">
        <v>9</v>
      </c>
      <c r="I162" s="3">
        <v>1460.52</v>
      </c>
    </row>
    <row r="163" spans="1:9" ht="15" customHeight="1" x14ac:dyDescent="0.25">
      <c r="A163" s="2" t="s">
        <v>56</v>
      </c>
      <c r="B163" s="2" t="s">
        <v>117</v>
      </c>
      <c r="C163" s="2" t="s">
        <v>118</v>
      </c>
      <c r="D163" s="4">
        <v>17.541234321000001</v>
      </c>
      <c r="E163" s="3">
        <v>18.04</v>
      </c>
      <c r="F163" s="3">
        <v>316.44</v>
      </c>
      <c r="G163" s="3">
        <v>17.940000000000001</v>
      </c>
      <c r="H163" s="3">
        <v>1.75</v>
      </c>
      <c r="I163" s="3">
        <v>314.69</v>
      </c>
    </row>
    <row r="164" spans="1:9" ht="15" customHeight="1" x14ac:dyDescent="0.25">
      <c r="A164" s="2" t="s">
        <v>56</v>
      </c>
      <c r="B164" s="2" t="s">
        <v>123</v>
      </c>
      <c r="C164" s="2" t="s">
        <v>124</v>
      </c>
      <c r="D164" s="4">
        <v>14.175986007000001</v>
      </c>
      <c r="E164" s="3">
        <v>16.16</v>
      </c>
      <c r="F164" s="3">
        <v>229.08</v>
      </c>
      <c r="G164" s="3">
        <v>16.41</v>
      </c>
      <c r="H164" s="3">
        <v>-3.53</v>
      </c>
      <c r="I164" s="3">
        <v>232.61</v>
      </c>
    </row>
    <row r="165" spans="1:9" ht="15" customHeight="1" x14ac:dyDescent="0.25">
      <c r="A165" s="2" t="s">
        <v>56</v>
      </c>
      <c r="B165" s="2" t="s">
        <v>119</v>
      </c>
      <c r="C165" s="2" t="s">
        <v>120</v>
      </c>
      <c r="D165" s="4">
        <v>33.902203759000002</v>
      </c>
      <c r="E165" s="3">
        <v>100.72</v>
      </c>
      <c r="F165" s="3">
        <v>3414.63</v>
      </c>
      <c r="G165" s="3">
        <v>100.31</v>
      </c>
      <c r="H165" s="3">
        <v>14.01</v>
      </c>
      <c r="I165" s="3">
        <v>3400.62</v>
      </c>
    </row>
    <row r="166" spans="1:9" ht="15" customHeight="1" x14ac:dyDescent="0.25">
      <c r="A166" s="2" t="s">
        <v>56</v>
      </c>
      <c r="B166" s="2" t="s">
        <v>115</v>
      </c>
      <c r="C166" s="2" t="s">
        <v>116</v>
      </c>
      <c r="D166" s="4">
        <v>47.842151366000003</v>
      </c>
      <c r="E166" s="3">
        <v>110.63</v>
      </c>
      <c r="F166" s="3">
        <v>5292.78</v>
      </c>
      <c r="G166" s="3">
        <v>110.07</v>
      </c>
      <c r="H166" s="3">
        <v>26.92</v>
      </c>
      <c r="I166" s="3">
        <v>5265.86</v>
      </c>
    </row>
    <row r="167" spans="1:9" ht="15" customHeight="1" x14ac:dyDescent="0.25">
      <c r="A167" s="2" t="s">
        <v>56</v>
      </c>
      <c r="B167" s="2" t="s">
        <v>156</v>
      </c>
      <c r="C167" s="2" t="s">
        <v>157</v>
      </c>
      <c r="D167" s="4">
        <v>15.520319786</v>
      </c>
      <c r="E167" s="3">
        <v>21.96</v>
      </c>
      <c r="F167" s="3">
        <v>340.83</v>
      </c>
      <c r="G167" s="3">
        <v>22.52</v>
      </c>
      <c r="H167" s="3">
        <v>-8.61</v>
      </c>
      <c r="I167" s="3">
        <v>349.44</v>
      </c>
    </row>
    <row r="168" spans="1:9" ht="15" customHeight="1" x14ac:dyDescent="0.25">
      <c r="A168" s="2" t="s">
        <v>56</v>
      </c>
      <c r="B168" s="2" t="s">
        <v>125</v>
      </c>
      <c r="C168" s="2" t="s">
        <v>126</v>
      </c>
      <c r="D168" s="4">
        <v>39</v>
      </c>
      <c r="E168" s="3">
        <v>13.27</v>
      </c>
      <c r="F168" s="3">
        <v>517.53</v>
      </c>
      <c r="G168" s="3">
        <v>13.03</v>
      </c>
      <c r="H168" s="3">
        <v>9.17</v>
      </c>
      <c r="I168" s="3">
        <v>508.36</v>
      </c>
    </row>
    <row r="169" spans="1:9" ht="15" customHeight="1" x14ac:dyDescent="0.25">
      <c r="A169" s="2" t="s">
        <v>56</v>
      </c>
      <c r="B169" s="2" t="s">
        <v>109</v>
      </c>
      <c r="C169" s="2" t="s">
        <v>110</v>
      </c>
      <c r="D169" s="4">
        <v>4</v>
      </c>
      <c r="E169" s="3">
        <v>16.61</v>
      </c>
      <c r="F169" s="3">
        <v>66.42</v>
      </c>
      <c r="G169" s="3">
        <v>16.27</v>
      </c>
      <c r="H169" s="3">
        <v>1.35</v>
      </c>
      <c r="I169" s="3">
        <v>65.069999999999993</v>
      </c>
    </row>
    <row r="170" spans="1:9" ht="15" customHeight="1" x14ac:dyDescent="0.25">
      <c r="A170" s="2" t="s">
        <v>56</v>
      </c>
      <c r="B170" s="2" t="s">
        <v>136</v>
      </c>
      <c r="C170" s="2" t="s">
        <v>151</v>
      </c>
      <c r="D170" s="4">
        <v>25.187318196</v>
      </c>
      <c r="E170" s="3">
        <v>25.09</v>
      </c>
      <c r="F170" s="3">
        <v>631.82000000000005</v>
      </c>
      <c r="G170" s="3">
        <v>25.09</v>
      </c>
      <c r="H170" s="3">
        <v>-0.17</v>
      </c>
      <c r="I170" s="3">
        <v>631.99</v>
      </c>
    </row>
    <row r="171" spans="1:9" ht="15" customHeight="1" x14ac:dyDescent="0.25">
      <c r="A171" s="2" t="s">
        <v>58</v>
      </c>
      <c r="B171" s="2" t="s">
        <v>104</v>
      </c>
      <c r="C171" s="2" t="s">
        <v>105</v>
      </c>
      <c r="D171" s="4" t="s">
        <v>106</v>
      </c>
      <c r="E171" s="3"/>
      <c r="F171" s="3">
        <v>603.42999999999995</v>
      </c>
      <c r="G171" s="3"/>
      <c r="H171" s="3"/>
      <c r="I171" s="3"/>
    </row>
    <row r="172" spans="1:9" ht="15" customHeight="1" x14ac:dyDescent="0.25">
      <c r="A172" s="2" t="s">
        <v>58</v>
      </c>
      <c r="B172" s="2" t="s">
        <v>111</v>
      </c>
      <c r="C172" s="2" t="s">
        <v>131</v>
      </c>
      <c r="D172" s="4">
        <v>0.48281390600000001</v>
      </c>
      <c r="E172" s="3">
        <v>141.30000000000001</v>
      </c>
      <c r="F172" s="3">
        <v>68.22</v>
      </c>
      <c r="G172" s="3">
        <v>71.099999999999994</v>
      </c>
      <c r="H172" s="3">
        <v>33.89</v>
      </c>
      <c r="I172" s="3">
        <v>34.33</v>
      </c>
    </row>
    <row r="173" spans="1:9" ht="15" customHeight="1" x14ac:dyDescent="0.25">
      <c r="A173" s="2" t="s">
        <v>58</v>
      </c>
      <c r="B173" s="2" t="s">
        <v>138</v>
      </c>
      <c r="C173" s="2" t="s">
        <v>139</v>
      </c>
      <c r="D173" s="4">
        <v>5.5731406989999996</v>
      </c>
      <c r="E173" s="3">
        <v>28.94</v>
      </c>
      <c r="F173" s="3">
        <v>161.29</v>
      </c>
      <c r="G173" s="3">
        <v>30.46</v>
      </c>
      <c r="H173" s="3">
        <v>-8.44</v>
      </c>
      <c r="I173" s="3">
        <v>169.73</v>
      </c>
    </row>
    <row r="174" spans="1:9" ht="15" customHeight="1" x14ac:dyDescent="0.25">
      <c r="A174" s="2" t="s">
        <v>58</v>
      </c>
      <c r="B174" s="2" t="s">
        <v>140</v>
      </c>
      <c r="C174" s="2" t="s">
        <v>141</v>
      </c>
      <c r="D174" s="4">
        <v>40.485402082</v>
      </c>
      <c r="E174" s="3">
        <v>12.41</v>
      </c>
      <c r="F174" s="3">
        <v>502.42</v>
      </c>
      <c r="G174" s="3">
        <v>16.12</v>
      </c>
      <c r="H174" s="3">
        <v>-150.35</v>
      </c>
      <c r="I174" s="3">
        <v>652.78</v>
      </c>
    </row>
    <row r="175" spans="1:9" ht="15" customHeight="1" x14ac:dyDescent="0.25">
      <c r="A175" s="2" t="s">
        <v>58</v>
      </c>
      <c r="B175" s="2" t="s">
        <v>158</v>
      </c>
      <c r="C175" s="2" t="s">
        <v>159</v>
      </c>
      <c r="D175" s="4">
        <v>9</v>
      </c>
      <c r="E175" s="3">
        <v>19.600000000000001</v>
      </c>
      <c r="F175" s="3">
        <v>176.4</v>
      </c>
      <c r="G175" s="3">
        <v>20.22</v>
      </c>
      <c r="H175" s="3">
        <v>-5.58</v>
      </c>
      <c r="I175" s="3">
        <v>181.98</v>
      </c>
    </row>
    <row r="176" spans="1:9" ht="15" customHeight="1" x14ac:dyDescent="0.25">
      <c r="A176" s="2" t="s">
        <v>58</v>
      </c>
      <c r="B176" s="2" t="s">
        <v>127</v>
      </c>
      <c r="C176" s="2" t="s">
        <v>128</v>
      </c>
      <c r="D176" s="4">
        <v>78.917678136999996</v>
      </c>
      <c r="E176" s="3">
        <v>25.51</v>
      </c>
      <c r="F176" s="3">
        <v>2013.19</v>
      </c>
      <c r="G176" s="3">
        <v>25.37</v>
      </c>
      <c r="H176" s="3">
        <v>10.74</v>
      </c>
      <c r="I176" s="3">
        <v>2002.45</v>
      </c>
    </row>
    <row r="177" spans="1:9" ht="15" customHeight="1" x14ac:dyDescent="0.25">
      <c r="A177" s="2" t="s">
        <v>58</v>
      </c>
      <c r="B177" s="2" t="s">
        <v>132</v>
      </c>
      <c r="C177" s="2" t="s">
        <v>133</v>
      </c>
      <c r="D177" s="4">
        <v>29</v>
      </c>
      <c r="E177" s="3">
        <v>15.01</v>
      </c>
      <c r="F177" s="3">
        <v>435.29</v>
      </c>
      <c r="G177" s="3">
        <v>16.5</v>
      </c>
      <c r="H177" s="3">
        <v>-43.35</v>
      </c>
      <c r="I177" s="3">
        <v>478.64</v>
      </c>
    </row>
    <row r="178" spans="1:9" ht="15" customHeight="1" x14ac:dyDescent="0.25">
      <c r="A178" s="2" t="s">
        <v>58</v>
      </c>
      <c r="B178" s="2" t="s">
        <v>134</v>
      </c>
      <c r="C178" s="2" t="s">
        <v>142</v>
      </c>
      <c r="D178" s="4">
        <v>52.666026719999998</v>
      </c>
      <c r="E178" s="3">
        <v>25.66</v>
      </c>
      <c r="F178" s="3">
        <v>1351.41</v>
      </c>
      <c r="G178" s="3">
        <v>25.64</v>
      </c>
      <c r="H178" s="3">
        <v>1.1599999999999999</v>
      </c>
      <c r="I178" s="3">
        <v>1350.25</v>
      </c>
    </row>
    <row r="179" spans="1:9" ht="15" customHeight="1" x14ac:dyDescent="0.25">
      <c r="A179" s="2" t="s">
        <v>58</v>
      </c>
      <c r="B179" s="2" t="s">
        <v>143</v>
      </c>
      <c r="C179" s="2" t="s">
        <v>144</v>
      </c>
      <c r="D179" s="4">
        <v>31.440593336999999</v>
      </c>
      <c r="E179" s="3">
        <v>50.9</v>
      </c>
      <c r="F179" s="3">
        <v>1600.33</v>
      </c>
      <c r="G179" s="3">
        <v>50.68</v>
      </c>
      <c r="H179" s="3">
        <v>6.89</v>
      </c>
      <c r="I179" s="3">
        <v>1593.43</v>
      </c>
    </row>
    <row r="180" spans="1:9" ht="15" customHeight="1" x14ac:dyDescent="0.25">
      <c r="A180" s="2" t="s">
        <v>58</v>
      </c>
      <c r="B180" s="2" t="s">
        <v>160</v>
      </c>
      <c r="C180" s="2" t="s">
        <v>161</v>
      </c>
      <c r="D180" s="4">
        <v>9</v>
      </c>
      <c r="E180" s="3">
        <v>24.97</v>
      </c>
      <c r="F180" s="3">
        <v>224.73</v>
      </c>
      <c r="G180" s="3">
        <v>25.16</v>
      </c>
      <c r="H180" s="3">
        <v>-1.71</v>
      </c>
      <c r="I180" s="3">
        <v>226.44</v>
      </c>
    </row>
    <row r="181" spans="1:9" ht="15" customHeight="1" x14ac:dyDescent="0.25">
      <c r="A181" s="2" t="s">
        <v>58</v>
      </c>
      <c r="B181" s="2" t="s">
        <v>121</v>
      </c>
      <c r="C181" s="2" t="s">
        <v>122</v>
      </c>
      <c r="D181" s="4">
        <v>92.870068958000004</v>
      </c>
      <c r="E181" s="3">
        <v>11.44</v>
      </c>
      <c r="F181" s="3">
        <v>1062.43</v>
      </c>
      <c r="G181" s="3">
        <v>13.51</v>
      </c>
      <c r="H181" s="3">
        <v>-192.31</v>
      </c>
      <c r="I181" s="3">
        <v>1254.74</v>
      </c>
    </row>
    <row r="182" spans="1:9" ht="15" customHeight="1" x14ac:dyDescent="0.25">
      <c r="A182" s="2" t="s">
        <v>58</v>
      </c>
      <c r="B182" s="2" t="s">
        <v>107</v>
      </c>
      <c r="C182" s="2" t="s">
        <v>108</v>
      </c>
      <c r="D182" s="4">
        <v>1.8027389920000001</v>
      </c>
      <c r="E182" s="3">
        <v>49.25</v>
      </c>
      <c r="F182" s="3">
        <v>88.78</v>
      </c>
      <c r="G182" s="3">
        <v>47.29</v>
      </c>
      <c r="H182" s="3">
        <v>3.53</v>
      </c>
      <c r="I182" s="3">
        <v>85.26</v>
      </c>
    </row>
    <row r="183" spans="1:9" ht="15" customHeight="1" x14ac:dyDescent="0.25">
      <c r="A183" s="2" t="s">
        <v>58</v>
      </c>
      <c r="B183" s="2" t="s">
        <v>152</v>
      </c>
      <c r="C183" s="2" t="s">
        <v>153</v>
      </c>
      <c r="D183" s="4">
        <v>22</v>
      </c>
      <c r="E183" s="3">
        <v>28.99</v>
      </c>
      <c r="F183" s="3">
        <v>637.78</v>
      </c>
      <c r="G183" s="3">
        <v>23.67</v>
      </c>
      <c r="H183" s="3">
        <v>117.04</v>
      </c>
      <c r="I183" s="3">
        <v>520.74</v>
      </c>
    </row>
    <row r="184" spans="1:9" ht="15" customHeight="1" x14ac:dyDescent="0.25">
      <c r="A184" s="2" t="s">
        <v>58</v>
      </c>
      <c r="B184" s="2" t="s">
        <v>113</v>
      </c>
      <c r="C184" s="2" t="s">
        <v>114</v>
      </c>
      <c r="D184" s="4">
        <v>1.0311635619999999</v>
      </c>
      <c r="E184" s="3">
        <v>73.92</v>
      </c>
      <c r="F184" s="3">
        <v>76.22</v>
      </c>
      <c r="G184" s="3">
        <v>54.23</v>
      </c>
      <c r="H184" s="3">
        <v>20.3</v>
      </c>
      <c r="I184" s="3">
        <v>55.92</v>
      </c>
    </row>
    <row r="185" spans="1:9" ht="15" customHeight="1" x14ac:dyDescent="0.25">
      <c r="A185" s="2" t="s">
        <v>58</v>
      </c>
      <c r="B185" s="2" t="s">
        <v>145</v>
      </c>
      <c r="C185" s="2" t="s">
        <v>146</v>
      </c>
      <c r="D185" s="4">
        <v>15.038614962</v>
      </c>
      <c r="E185" s="3">
        <v>24.86</v>
      </c>
      <c r="F185" s="3">
        <v>373.86</v>
      </c>
      <c r="G185" s="3">
        <v>25.14</v>
      </c>
      <c r="H185" s="3">
        <v>-4.1900000000000004</v>
      </c>
      <c r="I185" s="3">
        <v>378.05</v>
      </c>
    </row>
    <row r="186" spans="1:9" ht="15" customHeight="1" x14ac:dyDescent="0.25">
      <c r="A186" s="2" t="s">
        <v>58</v>
      </c>
      <c r="B186" s="2" t="s">
        <v>147</v>
      </c>
      <c r="C186" s="2" t="s">
        <v>148</v>
      </c>
      <c r="D186" s="4">
        <v>1.3229356649999999</v>
      </c>
      <c r="E186" s="3">
        <v>111.95</v>
      </c>
      <c r="F186" s="3">
        <v>148.1</v>
      </c>
      <c r="G186" s="3">
        <v>128.30000000000001</v>
      </c>
      <c r="H186" s="3">
        <v>-21.63</v>
      </c>
      <c r="I186" s="3">
        <v>169.73</v>
      </c>
    </row>
    <row r="187" spans="1:9" ht="15" customHeight="1" x14ac:dyDescent="0.25">
      <c r="A187" s="2" t="s">
        <v>58</v>
      </c>
      <c r="B187" s="2" t="s">
        <v>154</v>
      </c>
      <c r="C187" s="2" t="s">
        <v>155</v>
      </c>
      <c r="D187" s="4">
        <v>2.7437819060000002</v>
      </c>
      <c r="E187" s="3">
        <v>59.37</v>
      </c>
      <c r="F187" s="3">
        <v>162.9</v>
      </c>
      <c r="G187" s="3">
        <v>61.86</v>
      </c>
      <c r="H187" s="3">
        <v>-6.83</v>
      </c>
      <c r="I187" s="3">
        <v>169.73</v>
      </c>
    </row>
    <row r="188" spans="1:9" ht="15" customHeight="1" x14ac:dyDescent="0.25">
      <c r="A188" s="2" t="s">
        <v>58</v>
      </c>
      <c r="B188" s="2" t="s">
        <v>149</v>
      </c>
      <c r="C188" s="2" t="s">
        <v>150</v>
      </c>
      <c r="D188" s="4">
        <v>3.7018872780000001</v>
      </c>
      <c r="E188" s="3">
        <v>46.27</v>
      </c>
      <c r="F188" s="3">
        <v>171.3</v>
      </c>
      <c r="G188" s="3">
        <v>45.85</v>
      </c>
      <c r="H188" s="3">
        <v>1.57</v>
      </c>
      <c r="I188" s="3">
        <v>169.73</v>
      </c>
    </row>
    <row r="189" spans="1:9" ht="15" customHeight="1" x14ac:dyDescent="0.25">
      <c r="A189" s="2" t="s">
        <v>58</v>
      </c>
      <c r="B189" s="2" t="s">
        <v>129</v>
      </c>
      <c r="C189" s="2" t="s">
        <v>130</v>
      </c>
      <c r="D189" s="4">
        <v>29</v>
      </c>
      <c r="E189" s="3">
        <v>50.72</v>
      </c>
      <c r="F189" s="3">
        <v>1471</v>
      </c>
      <c r="G189" s="3">
        <v>50.36</v>
      </c>
      <c r="H189" s="3">
        <v>10.48</v>
      </c>
      <c r="I189" s="3">
        <v>1460.52</v>
      </c>
    </row>
    <row r="190" spans="1:9" ht="15" customHeight="1" x14ac:dyDescent="0.25">
      <c r="A190" s="2" t="s">
        <v>58</v>
      </c>
      <c r="B190" s="2" t="s">
        <v>117</v>
      </c>
      <c r="C190" s="2" t="s">
        <v>118</v>
      </c>
      <c r="D190" s="4">
        <v>17.541234321000001</v>
      </c>
      <c r="E190" s="3">
        <v>17.97</v>
      </c>
      <c r="F190" s="3">
        <v>315.22000000000003</v>
      </c>
      <c r="G190" s="3">
        <v>17.940000000000001</v>
      </c>
      <c r="H190" s="3">
        <v>0.52</v>
      </c>
      <c r="I190" s="3">
        <v>314.69</v>
      </c>
    </row>
    <row r="191" spans="1:9" ht="15" customHeight="1" x14ac:dyDescent="0.25">
      <c r="A191" s="2" t="s">
        <v>58</v>
      </c>
      <c r="B191" s="2" t="s">
        <v>123</v>
      </c>
      <c r="C191" s="2" t="s">
        <v>124</v>
      </c>
      <c r="D191" s="4">
        <v>14.175986007000001</v>
      </c>
      <c r="E191" s="3">
        <v>16</v>
      </c>
      <c r="F191" s="3">
        <v>226.82</v>
      </c>
      <c r="G191" s="3">
        <v>16.41</v>
      </c>
      <c r="H191" s="3">
        <v>-5.8</v>
      </c>
      <c r="I191" s="3">
        <v>232.61</v>
      </c>
    </row>
    <row r="192" spans="1:9" ht="15" customHeight="1" x14ac:dyDescent="0.25">
      <c r="A192" s="2" t="s">
        <v>58</v>
      </c>
      <c r="B192" s="2" t="s">
        <v>119</v>
      </c>
      <c r="C192" s="2" t="s">
        <v>120</v>
      </c>
      <c r="D192" s="4">
        <v>36.662595199999998</v>
      </c>
      <c r="E192" s="3">
        <v>100.7</v>
      </c>
      <c r="F192" s="3">
        <v>3691.92</v>
      </c>
      <c r="G192" s="3">
        <v>100.31</v>
      </c>
      <c r="H192" s="3">
        <v>14.31</v>
      </c>
      <c r="I192" s="3">
        <v>3677.62</v>
      </c>
    </row>
    <row r="193" spans="1:9" ht="15" customHeight="1" x14ac:dyDescent="0.25">
      <c r="A193" s="2" t="s">
        <v>58</v>
      </c>
      <c r="B193" s="2" t="s">
        <v>115</v>
      </c>
      <c r="C193" s="2" t="s">
        <v>116</v>
      </c>
      <c r="D193" s="4">
        <v>49.103173972999997</v>
      </c>
      <c r="E193" s="3">
        <v>110.57</v>
      </c>
      <c r="F193" s="3">
        <v>5429.09</v>
      </c>
      <c r="G193" s="3">
        <v>110.07</v>
      </c>
      <c r="H193" s="3">
        <v>24.24</v>
      </c>
      <c r="I193" s="3">
        <v>5404.86</v>
      </c>
    </row>
    <row r="194" spans="1:9" ht="15" customHeight="1" x14ac:dyDescent="0.25">
      <c r="A194" s="2" t="s">
        <v>58</v>
      </c>
      <c r="B194" s="2" t="s">
        <v>156</v>
      </c>
      <c r="C194" s="2" t="s">
        <v>157</v>
      </c>
      <c r="D194" s="4">
        <v>28.277319646999999</v>
      </c>
      <c r="E194" s="3">
        <v>20.89</v>
      </c>
      <c r="F194" s="3">
        <v>590.71</v>
      </c>
      <c r="G194" s="3">
        <v>22.14</v>
      </c>
      <c r="H194" s="3">
        <v>-35.29</v>
      </c>
      <c r="I194" s="3">
        <v>626</v>
      </c>
    </row>
    <row r="195" spans="1:9" ht="15" customHeight="1" x14ac:dyDescent="0.25">
      <c r="A195" s="2" t="s">
        <v>58</v>
      </c>
      <c r="B195" s="2" t="s">
        <v>125</v>
      </c>
      <c r="C195" s="2" t="s">
        <v>126</v>
      </c>
      <c r="D195" s="4">
        <v>39</v>
      </c>
      <c r="E195" s="3">
        <v>12.35</v>
      </c>
      <c r="F195" s="3">
        <v>481.65</v>
      </c>
      <c r="G195" s="3">
        <v>13.03</v>
      </c>
      <c r="H195" s="3">
        <v>-26.71</v>
      </c>
      <c r="I195" s="3">
        <v>508.36</v>
      </c>
    </row>
    <row r="196" spans="1:9" ht="15" customHeight="1" x14ac:dyDescent="0.25">
      <c r="A196" s="2" t="s">
        <v>58</v>
      </c>
      <c r="B196" s="2" t="s">
        <v>109</v>
      </c>
      <c r="C196" s="2" t="s">
        <v>110</v>
      </c>
      <c r="D196" s="4">
        <v>4</v>
      </c>
      <c r="E196" s="3">
        <v>15.77</v>
      </c>
      <c r="F196" s="3">
        <v>63.06</v>
      </c>
      <c r="G196" s="3">
        <v>16.27</v>
      </c>
      <c r="H196" s="3">
        <v>-2.0099999999999998</v>
      </c>
      <c r="I196" s="3">
        <v>65.069999999999993</v>
      </c>
    </row>
    <row r="197" spans="1:9" ht="15" customHeight="1" x14ac:dyDescent="0.25">
      <c r="A197" s="2" t="s">
        <v>58</v>
      </c>
      <c r="B197" s="2" t="s">
        <v>136</v>
      </c>
      <c r="C197" s="2" t="s">
        <v>151</v>
      </c>
      <c r="D197" s="4">
        <v>30.716983096</v>
      </c>
      <c r="E197" s="3">
        <v>25.1</v>
      </c>
      <c r="F197" s="3">
        <v>770.84</v>
      </c>
      <c r="G197" s="3">
        <v>25.09</v>
      </c>
      <c r="H197" s="3">
        <v>7.0000000000000007E-2</v>
      </c>
      <c r="I197" s="3">
        <v>770.77</v>
      </c>
    </row>
    <row r="198" spans="1:9" ht="15" customHeight="1" x14ac:dyDescent="0.25">
      <c r="A198" s="2" t="s">
        <v>60</v>
      </c>
      <c r="B198" s="2" t="s">
        <v>104</v>
      </c>
      <c r="C198" s="2" t="s">
        <v>105</v>
      </c>
      <c r="D198" s="4" t="s">
        <v>106</v>
      </c>
      <c r="E198" s="3"/>
      <c r="F198" s="3">
        <v>2414.23</v>
      </c>
      <c r="G198" s="3"/>
      <c r="H198" s="3"/>
      <c r="I198" s="3"/>
    </row>
    <row r="199" spans="1:9" ht="15" customHeight="1" x14ac:dyDescent="0.25">
      <c r="A199" s="2" t="s">
        <v>60</v>
      </c>
      <c r="B199" s="2" t="s">
        <v>111</v>
      </c>
      <c r="C199" s="2" t="s">
        <v>131</v>
      </c>
      <c r="D199" s="4">
        <v>0.48281390600000001</v>
      </c>
      <c r="E199" s="3">
        <v>134.29</v>
      </c>
      <c r="F199" s="3">
        <v>64.84</v>
      </c>
      <c r="G199" s="3">
        <v>71.099999999999994</v>
      </c>
      <c r="H199" s="3">
        <v>30.51</v>
      </c>
      <c r="I199" s="3">
        <v>34.33</v>
      </c>
    </row>
    <row r="200" spans="1:9" ht="15" customHeight="1" x14ac:dyDescent="0.25">
      <c r="A200" s="2" t="s">
        <v>60</v>
      </c>
      <c r="B200" s="2" t="s">
        <v>138</v>
      </c>
      <c r="C200" s="2" t="s">
        <v>139</v>
      </c>
      <c r="D200" s="4">
        <v>5.5731406989999996</v>
      </c>
      <c r="E200" s="3">
        <v>27.55</v>
      </c>
      <c r="F200" s="3">
        <v>153.54</v>
      </c>
      <c r="G200" s="3">
        <v>30.46</v>
      </c>
      <c r="H200" s="3">
        <v>-16.190000000000001</v>
      </c>
      <c r="I200" s="3">
        <v>169.73</v>
      </c>
    </row>
    <row r="201" spans="1:9" ht="15" customHeight="1" x14ac:dyDescent="0.25">
      <c r="A201" s="2" t="s">
        <v>60</v>
      </c>
      <c r="B201" s="2" t="s">
        <v>140</v>
      </c>
      <c r="C201" s="2" t="s">
        <v>141</v>
      </c>
      <c r="D201" s="4">
        <v>46.279968185999998</v>
      </c>
      <c r="E201" s="3">
        <v>16.54</v>
      </c>
      <c r="F201" s="3">
        <v>765.47</v>
      </c>
      <c r="G201" s="3">
        <v>15.7</v>
      </c>
      <c r="H201" s="3">
        <v>38.82</v>
      </c>
      <c r="I201" s="3">
        <v>726.65</v>
      </c>
    </row>
    <row r="202" spans="1:9" ht="15" customHeight="1" x14ac:dyDescent="0.25">
      <c r="A202" s="2" t="s">
        <v>60</v>
      </c>
      <c r="B202" s="2" t="s">
        <v>158</v>
      </c>
      <c r="C202" s="2" t="s">
        <v>159</v>
      </c>
      <c r="D202" s="4">
        <v>9</v>
      </c>
      <c r="E202" s="3">
        <v>19.010000000000002</v>
      </c>
      <c r="F202" s="3">
        <v>171.09</v>
      </c>
      <c r="G202" s="3">
        <v>20.22</v>
      </c>
      <c r="H202" s="3">
        <v>-10.89</v>
      </c>
      <c r="I202" s="3">
        <v>181.98</v>
      </c>
    </row>
    <row r="203" spans="1:9" ht="15" customHeight="1" x14ac:dyDescent="0.25">
      <c r="A203" s="2" t="s">
        <v>60</v>
      </c>
      <c r="B203" s="2" t="s">
        <v>127</v>
      </c>
      <c r="C203" s="2" t="s">
        <v>128</v>
      </c>
      <c r="D203" s="4">
        <v>87.515653502000006</v>
      </c>
      <c r="E203" s="3">
        <v>25.52</v>
      </c>
      <c r="F203" s="3">
        <v>2233.4</v>
      </c>
      <c r="G203" s="3">
        <v>25.38</v>
      </c>
      <c r="H203" s="3">
        <v>12.31</v>
      </c>
      <c r="I203" s="3">
        <v>2221.09</v>
      </c>
    </row>
    <row r="204" spans="1:9" ht="15" customHeight="1" x14ac:dyDescent="0.25">
      <c r="A204" s="2" t="s">
        <v>60</v>
      </c>
      <c r="B204" s="2" t="s">
        <v>132</v>
      </c>
      <c r="C204" s="2" t="s">
        <v>133</v>
      </c>
      <c r="D204" s="4">
        <v>39</v>
      </c>
      <c r="E204" s="3">
        <v>14.27</v>
      </c>
      <c r="F204" s="3">
        <v>556.53</v>
      </c>
      <c r="G204" s="3">
        <v>16.059999999999999</v>
      </c>
      <c r="H204" s="3">
        <v>-69.959999999999994</v>
      </c>
      <c r="I204" s="3">
        <v>626.49</v>
      </c>
    </row>
    <row r="205" spans="1:9" ht="15" customHeight="1" x14ac:dyDescent="0.25">
      <c r="A205" s="2" t="s">
        <v>60</v>
      </c>
      <c r="B205" s="2" t="s">
        <v>134</v>
      </c>
      <c r="C205" s="2" t="s">
        <v>142</v>
      </c>
      <c r="D205" s="4">
        <v>55.547689478999999</v>
      </c>
      <c r="E205" s="3">
        <v>25.65</v>
      </c>
      <c r="F205" s="3">
        <v>1424.52</v>
      </c>
      <c r="G205" s="3">
        <v>25.64</v>
      </c>
      <c r="H205" s="3">
        <v>0.39</v>
      </c>
      <c r="I205" s="3">
        <v>1424.13</v>
      </c>
    </row>
    <row r="206" spans="1:9" ht="15" customHeight="1" x14ac:dyDescent="0.25">
      <c r="A206" s="2" t="s">
        <v>60</v>
      </c>
      <c r="B206" s="2" t="s">
        <v>143</v>
      </c>
      <c r="C206" s="2" t="s">
        <v>144</v>
      </c>
      <c r="D206" s="4">
        <v>34.336597283000003</v>
      </c>
      <c r="E206" s="3">
        <v>50.96</v>
      </c>
      <c r="F206" s="3">
        <v>1749.79</v>
      </c>
      <c r="G206" s="3">
        <v>50.68</v>
      </c>
      <c r="H206" s="3">
        <v>9.6</v>
      </c>
      <c r="I206" s="3">
        <v>1740.19</v>
      </c>
    </row>
    <row r="207" spans="1:9" ht="15" customHeight="1" x14ac:dyDescent="0.25">
      <c r="A207" s="2" t="s">
        <v>60</v>
      </c>
      <c r="B207" s="2" t="s">
        <v>160</v>
      </c>
      <c r="C207" s="2" t="s">
        <v>161</v>
      </c>
      <c r="D207" s="4">
        <v>12</v>
      </c>
      <c r="E207" s="3">
        <v>24.77</v>
      </c>
      <c r="F207" s="3">
        <v>297.24</v>
      </c>
      <c r="G207" s="3">
        <v>25.13</v>
      </c>
      <c r="H207" s="3">
        <v>-4.3099999999999996</v>
      </c>
      <c r="I207" s="3">
        <v>301.55</v>
      </c>
    </row>
    <row r="208" spans="1:9" ht="15" customHeight="1" x14ac:dyDescent="0.25">
      <c r="A208" s="2" t="s">
        <v>60</v>
      </c>
      <c r="B208" s="2" t="s">
        <v>121</v>
      </c>
      <c r="C208" s="2" t="s">
        <v>122</v>
      </c>
      <c r="D208" s="4">
        <v>92.870068958000004</v>
      </c>
      <c r="E208" s="3">
        <v>10.77</v>
      </c>
      <c r="F208" s="3">
        <v>1000.21</v>
      </c>
      <c r="G208" s="3">
        <v>13.51</v>
      </c>
      <c r="H208" s="3">
        <v>-254.53</v>
      </c>
      <c r="I208" s="3">
        <v>1254.74</v>
      </c>
    </row>
    <row r="209" spans="1:9" ht="15" customHeight="1" x14ac:dyDescent="0.25">
      <c r="A209" s="2" t="s">
        <v>60</v>
      </c>
      <c r="B209" s="2" t="s">
        <v>107</v>
      </c>
      <c r="C209" s="2" t="s">
        <v>108</v>
      </c>
      <c r="D209" s="4">
        <v>1.8027389920000001</v>
      </c>
      <c r="E209" s="3">
        <v>47.32</v>
      </c>
      <c r="F209" s="3">
        <v>85.31</v>
      </c>
      <c r="G209" s="3">
        <v>47.29</v>
      </c>
      <c r="H209" s="3">
        <v>0.05</v>
      </c>
      <c r="I209" s="3">
        <v>85.26</v>
      </c>
    </row>
    <row r="210" spans="1:9" ht="15" customHeight="1" x14ac:dyDescent="0.25">
      <c r="A210" s="2" t="s">
        <v>60</v>
      </c>
      <c r="B210" s="2" t="s">
        <v>152</v>
      </c>
      <c r="C210" s="2" t="s">
        <v>153</v>
      </c>
      <c r="D210" s="4">
        <v>22</v>
      </c>
      <c r="E210" s="3">
        <v>34.01</v>
      </c>
      <c r="F210" s="3">
        <v>748.22</v>
      </c>
      <c r="G210" s="3">
        <v>23.67</v>
      </c>
      <c r="H210" s="3">
        <v>227.48</v>
      </c>
      <c r="I210" s="3">
        <v>520.74</v>
      </c>
    </row>
    <row r="211" spans="1:9" ht="15" customHeight="1" x14ac:dyDescent="0.25">
      <c r="A211" s="2" t="s">
        <v>60</v>
      </c>
      <c r="B211" s="2" t="s">
        <v>113</v>
      </c>
      <c r="C211" s="2" t="s">
        <v>114</v>
      </c>
      <c r="D211" s="4">
        <v>1.0311635619999999</v>
      </c>
      <c r="E211" s="3">
        <v>82.99</v>
      </c>
      <c r="F211" s="3">
        <v>85.58</v>
      </c>
      <c r="G211" s="3">
        <v>54.23</v>
      </c>
      <c r="H211" s="3">
        <v>29.66</v>
      </c>
      <c r="I211" s="3">
        <v>55.92</v>
      </c>
    </row>
    <row r="212" spans="1:9" ht="15" customHeight="1" x14ac:dyDescent="0.25">
      <c r="A212" s="2" t="s">
        <v>60</v>
      </c>
      <c r="B212" s="2" t="s">
        <v>145</v>
      </c>
      <c r="C212" s="2" t="s">
        <v>146</v>
      </c>
      <c r="D212" s="4">
        <v>20.796697196</v>
      </c>
      <c r="E212" s="3">
        <v>25.26</v>
      </c>
      <c r="F212" s="3">
        <v>525.32000000000005</v>
      </c>
      <c r="G212" s="3">
        <v>25.24</v>
      </c>
      <c r="H212" s="3">
        <v>0.51</v>
      </c>
      <c r="I212" s="3">
        <v>524.80999999999995</v>
      </c>
    </row>
    <row r="213" spans="1:9" ht="15" customHeight="1" x14ac:dyDescent="0.25">
      <c r="A213" s="2" t="s">
        <v>60</v>
      </c>
      <c r="B213" s="2" t="s">
        <v>147</v>
      </c>
      <c r="C213" s="2" t="s">
        <v>148</v>
      </c>
      <c r="D213" s="4">
        <v>1.3229356649999999</v>
      </c>
      <c r="E213" s="3">
        <v>106.8</v>
      </c>
      <c r="F213" s="3">
        <v>141.29</v>
      </c>
      <c r="G213" s="3">
        <v>128.30000000000001</v>
      </c>
      <c r="H213" s="3">
        <v>-28.44</v>
      </c>
      <c r="I213" s="3">
        <v>169.73</v>
      </c>
    </row>
    <row r="214" spans="1:9" ht="15" customHeight="1" x14ac:dyDescent="0.25">
      <c r="A214" s="2" t="s">
        <v>60</v>
      </c>
      <c r="B214" s="2" t="s">
        <v>154</v>
      </c>
      <c r="C214" s="2" t="s">
        <v>155</v>
      </c>
      <c r="D214" s="4">
        <v>2.7437819060000002</v>
      </c>
      <c r="E214" s="3">
        <v>57.89</v>
      </c>
      <c r="F214" s="3">
        <v>158.84</v>
      </c>
      <c r="G214" s="3">
        <v>61.86</v>
      </c>
      <c r="H214" s="3">
        <v>-10.89</v>
      </c>
      <c r="I214" s="3">
        <v>169.73</v>
      </c>
    </row>
    <row r="215" spans="1:9" ht="15" customHeight="1" x14ac:dyDescent="0.25">
      <c r="A215" s="2" t="s">
        <v>60</v>
      </c>
      <c r="B215" s="2" t="s">
        <v>149</v>
      </c>
      <c r="C215" s="2" t="s">
        <v>150</v>
      </c>
      <c r="D215" s="4">
        <v>3.7018872780000001</v>
      </c>
      <c r="E215" s="3">
        <v>49.09</v>
      </c>
      <c r="F215" s="3">
        <v>181.73</v>
      </c>
      <c r="G215" s="3">
        <v>45.85</v>
      </c>
      <c r="H215" s="3">
        <v>12</v>
      </c>
      <c r="I215" s="3">
        <v>169.73</v>
      </c>
    </row>
    <row r="216" spans="1:9" ht="15" customHeight="1" x14ac:dyDescent="0.25">
      <c r="A216" s="2" t="s">
        <v>60</v>
      </c>
      <c r="B216" s="2" t="s">
        <v>129</v>
      </c>
      <c r="C216" s="2" t="s">
        <v>130</v>
      </c>
      <c r="D216" s="4">
        <v>31</v>
      </c>
      <c r="E216" s="3">
        <v>50.99</v>
      </c>
      <c r="F216" s="3">
        <v>1580.66</v>
      </c>
      <c r="G216" s="3">
        <v>50.38</v>
      </c>
      <c r="H216" s="3">
        <v>19.02</v>
      </c>
      <c r="I216" s="3">
        <v>1561.64</v>
      </c>
    </row>
    <row r="217" spans="1:9" ht="15" customHeight="1" x14ac:dyDescent="0.25">
      <c r="A217" s="2" t="s">
        <v>60</v>
      </c>
      <c r="B217" s="2" t="s">
        <v>117</v>
      </c>
      <c r="C217" s="2" t="s">
        <v>118</v>
      </c>
      <c r="D217" s="4">
        <v>17.541234321000001</v>
      </c>
      <c r="E217" s="3">
        <v>18.22</v>
      </c>
      <c r="F217" s="3">
        <v>319.60000000000002</v>
      </c>
      <c r="G217" s="3">
        <v>17.940000000000001</v>
      </c>
      <c r="H217" s="3">
        <v>4.91</v>
      </c>
      <c r="I217" s="3">
        <v>314.69</v>
      </c>
    </row>
    <row r="218" spans="1:9" ht="15" customHeight="1" x14ac:dyDescent="0.25">
      <c r="A218" s="2" t="s">
        <v>60</v>
      </c>
      <c r="B218" s="2" t="s">
        <v>123</v>
      </c>
      <c r="C218" s="2" t="s">
        <v>124</v>
      </c>
      <c r="D218" s="4">
        <v>14.175986007000001</v>
      </c>
      <c r="E218" s="3">
        <v>16.7</v>
      </c>
      <c r="F218" s="3">
        <v>236.74</v>
      </c>
      <c r="G218" s="3">
        <v>16.41</v>
      </c>
      <c r="H218" s="3">
        <v>4.12</v>
      </c>
      <c r="I218" s="3">
        <v>232.61</v>
      </c>
    </row>
    <row r="219" spans="1:9" ht="15" customHeight="1" x14ac:dyDescent="0.25">
      <c r="A219" s="2" t="s">
        <v>60</v>
      </c>
      <c r="B219" s="2" t="s">
        <v>119</v>
      </c>
      <c r="C219" s="2" t="s">
        <v>120</v>
      </c>
      <c r="D219" s="4">
        <v>37.400102425</v>
      </c>
      <c r="E219" s="3">
        <v>100.68</v>
      </c>
      <c r="F219" s="3">
        <v>3765.44</v>
      </c>
      <c r="G219" s="3">
        <v>100.31</v>
      </c>
      <c r="H219" s="3">
        <v>13.83</v>
      </c>
      <c r="I219" s="3">
        <v>3751.62</v>
      </c>
    </row>
    <row r="220" spans="1:9" ht="15" customHeight="1" x14ac:dyDescent="0.25">
      <c r="A220" s="2" t="s">
        <v>60</v>
      </c>
      <c r="B220" s="2" t="s">
        <v>115</v>
      </c>
      <c r="C220" s="2" t="s">
        <v>116</v>
      </c>
      <c r="D220" s="4">
        <v>49.774997337000002</v>
      </c>
      <c r="E220" s="3">
        <v>110.51</v>
      </c>
      <c r="F220" s="3">
        <v>5500.39</v>
      </c>
      <c r="G220" s="3">
        <v>110.07</v>
      </c>
      <c r="H220" s="3">
        <v>21.53</v>
      </c>
      <c r="I220" s="3">
        <v>5478.86</v>
      </c>
    </row>
    <row r="221" spans="1:9" ht="15" customHeight="1" x14ac:dyDescent="0.25">
      <c r="A221" s="2" t="s">
        <v>60</v>
      </c>
      <c r="B221" s="2" t="s">
        <v>162</v>
      </c>
      <c r="C221" s="2" t="s">
        <v>163</v>
      </c>
      <c r="D221" s="4">
        <v>11.594437805</v>
      </c>
      <c r="E221" s="3">
        <v>25.69</v>
      </c>
      <c r="F221" s="3">
        <v>297.86</v>
      </c>
      <c r="G221" s="3">
        <v>25.36</v>
      </c>
      <c r="H221" s="3">
        <v>3.86</v>
      </c>
      <c r="I221" s="3">
        <v>294</v>
      </c>
    </row>
    <row r="222" spans="1:9" ht="15" customHeight="1" x14ac:dyDescent="0.25">
      <c r="A222" s="2" t="s">
        <v>60</v>
      </c>
      <c r="B222" s="2" t="s">
        <v>156</v>
      </c>
      <c r="C222" s="2" t="s">
        <v>157</v>
      </c>
      <c r="D222" s="4">
        <v>28.277319646999999</v>
      </c>
      <c r="E222" s="3">
        <v>21.68</v>
      </c>
      <c r="F222" s="3">
        <v>613.04999999999995</v>
      </c>
      <c r="G222" s="3">
        <v>22.14</v>
      </c>
      <c r="H222" s="3">
        <v>-12.95</v>
      </c>
      <c r="I222" s="3">
        <v>626</v>
      </c>
    </row>
    <row r="223" spans="1:9" ht="15" customHeight="1" x14ac:dyDescent="0.25">
      <c r="A223" s="2" t="s">
        <v>60</v>
      </c>
      <c r="B223" s="2" t="s">
        <v>125</v>
      </c>
      <c r="C223" s="2" t="s">
        <v>126</v>
      </c>
      <c r="D223" s="4">
        <v>39</v>
      </c>
      <c r="E223" s="3">
        <v>12.17</v>
      </c>
      <c r="F223" s="3">
        <v>474.63</v>
      </c>
      <c r="G223" s="3">
        <v>13.03</v>
      </c>
      <c r="H223" s="3">
        <v>-33.729999999999997</v>
      </c>
      <c r="I223" s="3">
        <v>508.36</v>
      </c>
    </row>
    <row r="224" spans="1:9" ht="15" customHeight="1" x14ac:dyDescent="0.25">
      <c r="A224" s="2" t="s">
        <v>60</v>
      </c>
      <c r="B224" s="2" t="s">
        <v>109</v>
      </c>
      <c r="C224" s="2" t="s">
        <v>110</v>
      </c>
      <c r="D224" s="4">
        <v>4</v>
      </c>
      <c r="E224" s="3">
        <v>15.53</v>
      </c>
      <c r="F224" s="3">
        <v>62.12</v>
      </c>
      <c r="G224" s="3">
        <v>16.27</v>
      </c>
      <c r="H224" s="3">
        <v>-2.95</v>
      </c>
      <c r="I224" s="3">
        <v>65.069999999999993</v>
      </c>
    </row>
    <row r="225" spans="1:9" ht="15" customHeight="1" x14ac:dyDescent="0.25">
      <c r="A225" s="2" t="s">
        <v>60</v>
      </c>
      <c r="B225" s="2" t="s">
        <v>136</v>
      </c>
      <c r="C225" s="2" t="s">
        <v>151</v>
      </c>
      <c r="D225" s="4">
        <v>30.716983096</v>
      </c>
      <c r="E225" s="3">
        <v>25.11</v>
      </c>
      <c r="F225" s="3">
        <v>771.3</v>
      </c>
      <c r="G225" s="3">
        <v>25.09</v>
      </c>
      <c r="H225" s="3">
        <v>0.53</v>
      </c>
      <c r="I225" s="3">
        <v>770.77</v>
      </c>
    </row>
    <row r="226" spans="1:9" ht="15" customHeight="1" x14ac:dyDescent="0.25">
      <c r="A226" s="2" t="s">
        <v>60</v>
      </c>
      <c r="B226" s="2" t="s">
        <v>164</v>
      </c>
      <c r="C226" s="2" t="s">
        <v>165</v>
      </c>
      <c r="D226" s="4">
        <v>15.527576432</v>
      </c>
      <c r="E226" s="3">
        <v>18.12</v>
      </c>
      <c r="F226" s="3">
        <v>281.36</v>
      </c>
      <c r="G226" s="3">
        <v>18.489999999999998</v>
      </c>
      <c r="H226" s="3">
        <v>-5.7</v>
      </c>
      <c r="I226" s="3">
        <v>287.06</v>
      </c>
    </row>
    <row r="227" spans="1:9" ht="15" customHeight="1" x14ac:dyDescent="0.25">
      <c r="A227" s="2" t="s">
        <v>62</v>
      </c>
      <c r="B227" s="2" t="s">
        <v>104</v>
      </c>
      <c r="C227" s="2" t="s">
        <v>105</v>
      </c>
      <c r="D227" s="4" t="s">
        <v>106</v>
      </c>
      <c r="E227" s="3"/>
      <c r="F227" s="3">
        <v>32.89</v>
      </c>
      <c r="G227" s="3"/>
      <c r="H227" s="3"/>
      <c r="I227" s="3"/>
    </row>
    <row r="228" spans="1:9" ht="15" customHeight="1" x14ac:dyDescent="0.25">
      <c r="A228" s="2" t="s">
        <v>62</v>
      </c>
      <c r="B228" s="2" t="s">
        <v>111</v>
      </c>
      <c r="C228" s="2" t="s">
        <v>131</v>
      </c>
      <c r="D228" s="4">
        <v>0.80524351000000005</v>
      </c>
      <c r="E228" s="3">
        <v>123.36</v>
      </c>
      <c r="F228" s="3">
        <v>99.33</v>
      </c>
      <c r="G228" s="3">
        <v>92.23</v>
      </c>
      <c r="H228" s="3">
        <v>25.06</v>
      </c>
      <c r="I228" s="3">
        <v>74.27</v>
      </c>
    </row>
    <row r="229" spans="1:9" ht="15" customHeight="1" x14ac:dyDescent="0.25">
      <c r="A229" s="2" t="s">
        <v>62</v>
      </c>
      <c r="B229" s="2" t="s">
        <v>138</v>
      </c>
      <c r="C229" s="2" t="s">
        <v>139</v>
      </c>
      <c r="D229" s="4">
        <v>5.5731406989999996</v>
      </c>
      <c r="E229" s="3">
        <v>27.75</v>
      </c>
      <c r="F229" s="3">
        <v>154.65</v>
      </c>
      <c r="G229" s="3">
        <v>30.46</v>
      </c>
      <c r="H229" s="3">
        <v>-15.08</v>
      </c>
      <c r="I229" s="3">
        <v>169.73</v>
      </c>
    </row>
    <row r="230" spans="1:9" ht="15" customHeight="1" x14ac:dyDescent="0.25">
      <c r="A230" s="2" t="s">
        <v>62</v>
      </c>
      <c r="B230" s="2" t="s">
        <v>140</v>
      </c>
      <c r="C230" s="2" t="s">
        <v>141</v>
      </c>
      <c r="D230" s="4">
        <v>63.300092909</v>
      </c>
      <c r="E230" s="3">
        <v>13.04</v>
      </c>
      <c r="F230" s="3">
        <v>825.43</v>
      </c>
      <c r="G230" s="3">
        <v>15.52</v>
      </c>
      <c r="H230" s="3">
        <v>-156.82</v>
      </c>
      <c r="I230" s="3">
        <v>982.25</v>
      </c>
    </row>
    <row r="231" spans="1:9" ht="15" customHeight="1" x14ac:dyDescent="0.25">
      <c r="A231" s="2" t="s">
        <v>62</v>
      </c>
      <c r="B231" s="2" t="s">
        <v>158</v>
      </c>
      <c r="C231" s="2" t="s">
        <v>159</v>
      </c>
      <c r="D231" s="4">
        <v>12</v>
      </c>
      <c r="E231" s="3">
        <v>19.05</v>
      </c>
      <c r="F231" s="3">
        <v>228.6</v>
      </c>
      <c r="G231" s="3">
        <v>19.96</v>
      </c>
      <c r="H231" s="3">
        <v>-10.98</v>
      </c>
      <c r="I231" s="3">
        <v>239.58</v>
      </c>
    </row>
    <row r="232" spans="1:9" ht="15" customHeight="1" x14ac:dyDescent="0.25">
      <c r="A232" s="2" t="s">
        <v>62</v>
      </c>
      <c r="B232" s="2" t="s">
        <v>166</v>
      </c>
      <c r="C232" s="2" t="s">
        <v>167</v>
      </c>
      <c r="D232" s="4">
        <v>6.4260396499999999</v>
      </c>
      <c r="E232" s="3">
        <v>50.88</v>
      </c>
      <c r="F232" s="3">
        <v>326.95999999999998</v>
      </c>
      <c r="G232" s="3">
        <v>50.81</v>
      </c>
      <c r="H232" s="3">
        <v>0.48</v>
      </c>
      <c r="I232" s="3">
        <v>326.48</v>
      </c>
    </row>
    <row r="233" spans="1:9" ht="15" customHeight="1" x14ac:dyDescent="0.25">
      <c r="A233" s="2" t="s">
        <v>62</v>
      </c>
      <c r="B233" s="2" t="s">
        <v>127</v>
      </c>
      <c r="C233" s="2" t="s">
        <v>128</v>
      </c>
      <c r="D233" s="4">
        <v>94.706237279999996</v>
      </c>
      <c r="E233" s="3">
        <v>25.45</v>
      </c>
      <c r="F233" s="3">
        <v>2410.27</v>
      </c>
      <c r="G233" s="3">
        <v>25.38</v>
      </c>
      <c r="H233" s="3">
        <v>6.19</v>
      </c>
      <c r="I233" s="3">
        <v>2404.08</v>
      </c>
    </row>
    <row r="234" spans="1:9" ht="15" customHeight="1" x14ac:dyDescent="0.25">
      <c r="A234" s="2" t="s">
        <v>62</v>
      </c>
      <c r="B234" s="2" t="s">
        <v>132</v>
      </c>
      <c r="C234" s="2" t="s">
        <v>133</v>
      </c>
      <c r="D234" s="4">
        <v>56</v>
      </c>
      <c r="E234" s="3">
        <v>14.82</v>
      </c>
      <c r="F234" s="3">
        <v>829.92</v>
      </c>
      <c r="G234" s="3">
        <v>15.66</v>
      </c>
      <c r="H234" s="3">
        <v>-47.2</v>
      </c>
      <c r="I234" s="3">
        <v>877.12</v>
      </c>
    </row>
    <row r="235" spans="1:9" ht="15" customHeight="1" x14ac:dyDescent="0.25">
      <c r="A235" s="2" t="s">
        <v>62</v>
      </c>
      <c r="B235" s="2" t="s">
        <v>134</v>
      </c>
      <c r="C235" s="2" t="s">
        <v>142</v>
      </c>
      <c r="D235" s="4">
        <v>65.564442185000004</v>
      </c>
      <c r="E235" s="3">
        <v>25.64</v>
      </c>
      <c r="F235" s="3">
        <v>1681.07</v>
      </c>
      <c r="G235" s="3">
        <v>25.63</v>
      </c>
      <c r="H235" s="3">
        <v>0.35</v>
      </c>
      <c r="I235" s="3">
        <v>1680.72</v>
      </c>
    </row>
    <row r="236" spans="1:9" ht="15" customHeight="1" x14ac:dyDescent="0.25">
      <c r="A236" s="2" t="s">
        <v>62</v>
      </c>
      <c r="B236" s="2" t="s">
        <v>143</v>
      </c>
      <c r="C236" s="2" t="s">
        <v>144</v>
      </c>
      <c r="D236" s="4">
        <v>39.376882719000001</v>
      </c>
      <c r="E236" s="3">
        <v>50.71</v>
      </c>
      <c r="F236" s="3">
        <v>1996.8</v>
      </c>
      <c r="G236" s="3">
        <v>50.68</v>
      </c>
      <c r="H236" s="3">
        <v>1.02</v>
      </c>
      <c r="I236" s="3">
        <v>1995.78</v>
      </c>
    </row>
    <row r="237" spans="1:9" ht="15" customHeight="1" x14ac:dyDescent="0.25">
      <c r="A237" s="2" t="s">
        <v>62</v>
      </c>
      <c r="B237" s="2" t="s">
        <v>160</v>
      </c>
      <c r="C237" s="2" t="s">
        <v>161</v>
      </c>
      <c r="D237" s="4">
        <v>22</v>
      </c>
      <c r="E237" s="3">
        <v>24.15</v>
      </c>
      <c r="F237" s="3">
        <v>531.29999999999995</v>
      </c>
      <c r="G237" s="3">
        <v>24.72</v>
      </c>
      <c r="H237" s="3">
        <v>-12.55</v>
      </c>
      <c r="I237" s="3">
        <v>543.85</v>
      </c>
    </row>
    <row r="238" spans="1:9" ht="15" customHeight="1" x14ac:dyDescent="0.25">
      <c r="A238" s="2" t="s">
        <v>62</v>
      </c>
      <c r="B238" s="2" t="s">
        <v>121</v>
      </c>
      <c r="C238" s="2" t="s">
        <v>122</v>
      </c>
      <c r="D238" s="4">
        <v>92.870068958000004</v>
      </c>
      <c r="E238" s="3">
        <v>10.8</v>
      </c>
      <c r="F238" s="3">
        <v>1003</v>
      </c>
      <c r="G238" s="3">
        <v>13.51</v>
      </c>
      <c r="H238" s="3">
        <v>-251.74</v>
      </c>
      <c r="I238" s="3">
        <v>1254.74</v>
      </c>
    </row>
    <row r="239" spans="1:9" ht="15" customHeight="1" x14ac:dyDescent="0.25">
      <c r="A239" s="2" t="s">
        <v>62</v>
      </c>
      <c r="B239" s="2" t="s">
        <v>107</v>
      </c>
      <c r="C239" s="2" t="s">
        <v>108</v>
      </c>
      <c r="D239" s="4">
        <v>1.8027389920000001</v>
      </c>
      <c r="E239" s="3">
        <v>46.86</v>
      </c>
      <c r="F239" s="3">
        <v>84.48</v>
      </c>
      <c r="G239" s="3">
        <v>47.29</v>
      </c>
      <c r="H239" s="3">
        <v>-0.78</v>
      </c>
      <c r="I239" s="3">
        <v>85.26</v>
      </c>
    </row>
    <row r="240" spans="1:9" ht="15" customHeight="1" x14ac:dyDescent="0.25">
      <c r="A240" s="2" t="s">
        <v>62</v>
      </c>
      <c r="B240" s="2" t="s">
        <v>152</v>
      </c>
      <c r="C240" s="2" t="s">
        <v>153</v>
      </c>
      <c r="D240" s="4">
        <v>32.131129012000002</v>
      </c>
      <c r="E240" s="3">
        <v>26.31</v>
      </c>
      <c r="F240" s="3">
        <v>845.37</v>
      </c>
      <c r="G240" s="3">
        <v>26.4</v>
      </c>
      <c r="H240" s="3">
        <v>-2.85</v>
      </c>
      <c r="I240" s="3">
        <v>848.22</v>
      </c>
    </row>
    <row r="241" spans="1:9" ht="15" customHeight="1" x14ac:dyDescent="0.25">
      <c r="A241" s="2" t="s">
        <v>62</v>
      </c>
      <c r="B241" s="2" t="s">
        <v>113</v>
      </c>
      <c r="C241" s="2" t="s">
        <v>114</v>
      </c>
      <c r="D241" s="4">
        <v>1.6771597309999999</v>
      </c>
      <c r="E241" s="3">
        <v>77.31</v>
      </c>
      <c r="F241" s="3">
        <v>129.66</v>
      </c>
      <c r="G241" s="3">
        <v>63.11</v>
      </c>
      <c r="H241" s="3">
        <v>23.82</v>
      </c>
      <c r="I241" s="3">
        <v>105.84</v>
      </c>
    </row>
    <row r="242" spans="1:9" ht="15" customHeight="1" x14ac:dyDescent="0.25">
      <c r="A242" s="2" t="s">
        <v>62</v>
      </c>
      <c r="B242" s="2" t="s">
        <v>145</v>
      </c>
      <c r="C242" s="2" t="s">
        <v>146</v>
      </c>
      <c r="D242" s="4">
        <v>31.578227071000001</v>
      </c>
      <c r="E242" s="3">
        <v>23.35</v>
      </c>
      <c r="F242" s="3">
        <v>737.35</v>
      </c>
      <c r="G242" s="3">
        <v>24.71</v>
      </c>
      <c r="H242" s="3">
        <v>-43.05</v>
      </c>
      <c r="I242" s="3">
        <v>780.4</v>
      </c>
    </row>
    <row r="243" spans="1:9" ht="15" customHeight="1" x14ac:dyDescent="0.25">
      <c r="A243" s="2" t="s">
        <v>62</v>
      </c>
      <c r="B243" s="2" t="s">
        <v>147</v>
      </c>
      <c r="C243" s="2" t="s">
        <v>148</v>
      </c>
      <c r="D243" s="4">
        <v>1.3229356649999999</v>
      </c>
      <c r="E243" s="3">
        <v>86.02</v>
      </c>
      <c r="F243" s="3">
        <v>113.8</v>
      </c>
      <c r="G243" s="3">
        <v>128.30000000000001</v>
      </c>
      <c r="H243" s="3">
        <v>-55.93</v>
      </c>
      <c r="I243" s="3">
        <v>169.73</v>
      </c>
    </row>
    <row r="244" spans="1:9" ht="15" customHeight="1" x14ac:dyDescent="0.25">
      <c r="A244" s="2" t="s">
        <v>62</v>
      </c>
      <c r="B244" s="2" t="s">
        <v>154</v>
      </c>
      <c r="C244" s="2" t="s">
        <v>155</v>
      </c>
      <c r="D244" s="4">
        <v>2.7437819060000002</v>
      </c>
      <c r="E244" s="3">
        <v>53.41</v>
      </c>
      <c r="F244" s="3">
        <v>146.55000000000001</v>
      </c>
      <c r="G244" s="3">
        <v>61.86</v>
      </c>
      <c r="H244" s="3">
        <v>-23.18</v>
      </c>
      <c r="I244" s="3">
        <v>169.73</v>
      </c>
    </row>
    <row r="245" spans="1:9" ht="15" customHeight="1" x14ac:dyDescent="0.25">
      <c r="A245" s="2" t="s">
        <v>62</v>
      </c>
      <c r="B245" s="2" t="s">
        <v>149</v>
      </c>
      <c r="C245" s="2" t="s">
        <v>150</v>
      </c>
      <c r="D245" s="4">
        <v>3.7018872780000001</v>
      </c>
      <c r="E245" s="3">
        <v>46.48</v>
      </c>
      <c r="F245" s="3">
        <v>172.05</v>
      </c>
      <c r="G245" s="3">
        <v>45.85</v>
      </c>
      <c r="H245" s="3">
        <v>2.3199999999999998</v>
      </c>
      <c r="I245" s="3">
        <v>169.73</v>
      </c>
    </row>
    <row r="246" spans="1:9" ht="15" customHeight="1" x14ac:dyDescent="0.25">
      <c r="A246" s="2" t="s">
        <v>62</v>
      </c>
      <c r="B246" s="2" t="s">
        <v>129</v>
      </c>
      <c r="C246" s="2" t="s">
        <v>130</v>
      </c>
      <c r="D246" s="4">
        <v>35</v>
      </c>
      <c r="E246" s="3">
        <v>50.3</v>
      </c>
      <c r="F246" s="3">
        <v>1760.5</v>
      </c>
      <c r="G246" s="3">
        <v>50.38</v>
      </c>
      <c r="H246" s="3">
        <v>-2.86</v>
      </c>
      <c r="I246" s="3">
        <v>1763.36</v>
      </c>
    </row>
    <row r="247" spans="1:9" ht="15" customHeight="1" x14ac:dyDescent="0.25">
      <c r="A247" s="2" t="s">
        <v>62</v>
      </c>
      <c r="B247" s="2" t="s">
        <v>117</v>
      </c>
      <c r="C247" s="2" t="s">
        <v>118</v>
      </c>
      <c r="D247" s="4">
        <v>37.601732540999997</v>
      </c>
      <c r="E247" s="3">
        <v>18.22</v>
      </c>
      <c r="F247" s="3">
        <v>685.1</v>
      </c>
      <c r="G247" s="3">
        <v>18.11</v>
      </c>
      <c r="H247" s="3">
        <v>4</v>
      </c>
      <c r="I247" s="3">
        <v>681.1</v>
      </c>
    </row>
    <row r="248" spans="1:9" ht="15" customHeight="1" x14ac:dyDescent="0.25">
      <c r="A248" s="2" t="s">
        <v>62</v>
      </c>
      <c r="B248" s="2" t="s">
        <v>123</v>
      </c>
      <c r="C248" s="2" t="s">
        <v>124</v>
      </c>
      <c r="D248" s="4">
        <v>19.670330243999999</v>
      </c>
      <c r="E248" s="3">
        <v>16.34</v>
      </c>
      <c r="F248" s="3">
        <v>321.41000000000003</v>
      </c>
      <c r="G248" s="3">
        <v>16.39</v>
      </c>
      <c r="H248" s="3">
        <v>-1.06</v>
      </c>
      <c r="I248" s="3">
        <v>322.47000000000003</v>
      </c>
    </row>
    <row r="249" spans="1:9" ht="15" customHeight="1" x14ac:dyDescent="0.25">
      <c r="A249" s="2" t="s">
        <v>62</v>
      </c>
      <c r="B249" s="2" t="s">
        <v>119</v>
      </c>
      <c r="C249" s="2" t="s">
        <v>120</v>
      </c>
      <c r="D249" s="4">
        <v>39.941587161000001</v>
      </c>
      <c r="E249" s="3">
        <v>100.32</v>
      </c>
      <c r="F249" s="3">
        <v>4006.94</v>
      </c>
      <c r="G249" s="3">
        <v>100.3</v>
      </c>
      <c r="H249" s="3">
        <v>0.61</v>
      </c>
      <c r="I249" s="3">
        <v>4006.33</v>
      </c>
    </row>
    <row r="250" spans="1:9" ht="15" customHeight="1" x14ac:dyDescent="0.25">
      <c r="A250" s="2" t="s">
        <v>62</v>
      </c>
      <c r="B250" s="2" t="s">
        <v>115</v>
      </c>
      <c r="C250" s="2" t="s">
        <v>116</v>
      </c>
      <c r="D250" s="4">
        <v>52.744726901</v>
      </c>
      <c r="E250" s="3">
        <v>110.11</v>
      </c>
      <c r="F250" s="3">
        <v>5807.72</v>
      </c>
      <c r="G250" s="3">
        <v>110.07</v>
      </c>
      <c r="H250" s="3">
        <v>2.16</v>
      </c>
      <c r="I250" s="3">
        <v>5805.57</v>
      </c>
    </row>
    <row r="251" spans="1:9" ht="15" customHeight="1" x14ac:dyDescent="0.25">
      <c r="A251" s="2" t="s">
        <v>62</v>
      </c>
      <c r="B251" s="2" t="s">
        <v>162</v>
      </c>
      <c r="C251" s="2" t="s">
        <v>163</v>
      </c>
      <c r="D251" s="4">
        <v>21.746560952999999</v>
      </c>
      <c r="E251" s="3">
        <v>25.25</v>
      </c>
      <c r="F251" s="3">
        <v>549.1</v>
      </c>
      <c r="G251" s="3">
        <v>25.32</v>
      </c>
      <c r="H251" s="3">
        <v>-1.49</v>
      </c>
      <c r="I251" s="3">
        <v>550.59</v>
      </c>
    </row>
    <row r="252" spans="1:9" ht="15" customHeight="1" x14ac:dyDescent="0.25">
      <c r="A252" s="2" t="s">
        <v>62</v>
      </c>
      <c r="B252" s="2" t="s">
        <v>156</v>
      </c>
      <c r="C252" s="2" t="s">
        <v>157</v>
      </c>
      <c r="D252" s="4">
        <v>40.404631600000002</v>
      </c>
      <c r="E252" s="3">
        <v>20.79</v>
      </c>
      <c r="F252" s="3">
        <v>840.01</v>
      </c>
      <c r="G252" s="3">
        <v>21.82</v>
      </c>
      <c r="H252" s="3">
        <v>-41.58</v>
      </c>
      <c r="I252" s="3">
        <v>881.59</v>
      </c>
    </row>
    <row r="253" spans="1:9" ht="15" customHeight="1" x14ac:dyDescent="0.25">
      <c r="A253" s="2" t="s">
        <v>62</v>
      </c>
      <c r="B253" s="2" t="s">
        <v>125</v>
      </c>
      <c r="C253" s="2" t="s">
        <v>126</v>
      </c>
      <c r="D253" s="4">
        <v>55</v>
      </c>
      <c r="E253" s="3">
        <v>11.01</v>
      </c>
      <c r="F253" s="3">
        <v>605.54999999999995</v>
      </c>
      <c r="G253" s="3">
        <v>12.45</v>
      </c>
      <c r="H253" s="3">
        <v>-79.010000000000005</v>
      </c>
      <c r="I253" s="3">
        <v>684.56</v>
      </c>
    </row>
    <row r="254" spans="1:9" ht="15" customHeight="1" x14ac:dyDescent="0.25">
      <c r="A254" s="2" t="s">
        <v>62</v>
      </c>
      <c r="B254" s="2" t="s">
        <v>109</v>
      </c>
      <c r="C254" s="2" t="s">
        <v>110</v>
      </c>
      <c r="D254" s="4">
        <v>4</v>
      </c>
      <c r="E254" s="3">
        <v>15.14</v>
      </c>
      <c r="F254" s="3">
        <v>60.56</v>
      </c>
      <c r="G254" s="3">
        <v>16.27</v>
      </c>
      <c r="H254" s="3">
        <v>-4.51</v>
      </c>
      <c r="I254" s="3">
        <v>65.069999999999993</v>
      </c>
    </row>
    <row r="255" spans="1:9" ht="15" customHeight="1" x14ac:dyDescent="0.25">
      <c r="A255" s="2" t="s">
        <v>62</v>
      </c>
      <c r="B255" s="2" t="s">
        <v>136</v>
      </c>
      <c r="C255" s="2" t="s">
        <v>151</v>
      </c>
      <c r="D255" s="4">
        <v>40.943942620999998</v>
      </c>
      <c r="E255" s="3">
        <v>25.12</v>
      </c>
      <c r="F255" s="3">
        <v>1028.31</v>
      </c>
      <c r="G255" s="3">
        <v>25.09</v>
      </c>
      <c r="H255" s="3">
        <v>0.95</v>
      </c>
      <c r="I255" s="3">
        <v>1027.3599999999999</v>
      </c>
    </row>
    <row r="256" spans="1:9" ht="15" customHeight="1" x14ac:dyDescent="0.25">
      <c r="A256" s="2" t="s">
        <v>62</v>
      </c>
      <c r="B256" s="2" t="s">
        <v>164</v>
      </c>
      <c r="C256" s="2" t="s">
        <v>165</v>
      </c>
      <c r="D256" s="4">
        <v>20.8353219</v>
      </c>
      <c r="E256" s="3">
        <v>16.95</v>
      </c>
      <c r="F256" s="3">
        <v>353.16</v>
      </c>
      <c r="G256" s="3">
        <v>18.09</v>
      </c>
      <c r="H256" s="3">
        <v>-23.76</v>
      </c>
      <c r="I256" s="3">
        <v>376.91</v>
      </c>
    </row>
    <row r="257" spans="1:9" ht="15" customHeight="1" x14ac:dyDescent="0.25">
      <c r="A257" s="2" t="s">
        <v>64</v>
      </c>
      <c r="B257" s="2" t="s">
        <v>104</v>
      </c>
      <c r="C257" s="2" t="s">
        <v>105</v>
      </c>
      <c r="D257" s="4" t="s">
        <v>106</v>
      </c>
      <c r="E257" s="3"/>
      <c r="F257" s="3">
        <v>166.39</v>
      </c>
      <c r="G257" s="3"/>
      <c r="H257" s="3"/>
      <c r="I257" s="3"/>
    </row>
    <row r="258" spans="1:9" ht="15" customHeight="1" x14ac:dyDescent="0.25">
      <c r="A258" s="2" t="s">
        <v>64</v>
      </c>
      <c r="B258" s="2" t="s">
        <v>111</v>
      </c>
      <c r="C258" s="2" t="s">
        <v>131</v>
      </c>
      <c r="D258" s="4">
        <v>1.4759498200000001</v>
      </c>
      <c r="E258" s="3">
        <v>159.55000000000001</v>
      </c>
      <c r="F258" s="3">
        <v>235.49</v>
      </c>
      <c r="G258" s="3">
        <v>117.96</v>
      </c>
      <c r="H258" s="3">
        <v>61.38</v>
      </c>
      <c r="I258" s="3">
        <v>174.11</v>
      </c>
    </row>
    <row r="259" spans="1:9" ht="15" customHeight="1" x14ac:dyDescent="0.25">
      <c r="A259" s="2" t="s">
        <v>64</v>
      </c>
      <c r="B259" s="2" t="s">
        <v>168</v>
      </c>
      <c r="C259" s="2" t="s">
        <v>169</v>
      </c>
      <c r="D259" s="4">
        <v>3.0423184110000001</v>
      </c>
      <c r="E259" s="3">
        <v>49.17</v>
      </c>
      <c r="F259" s="3">
        <v>149.59</v>
      </c>
      <c r="G259" s="3">
        <v>49.23</v>
      </c>
      <c r="H259" s="3">
        <v>-0.17</v>
      </c>
      <c r="I259" s="3">
        <v>149.76</v>
      </c>
    </row>
    <row r="260" spans="1:9" ht="15" customHeight="1" x14ac:dyDescent="0.25">
      <c r="A260" s="2" t="s">
        <v>64</v>
      </c>
      <c r="B260" s="2" t="s">
        <v>138</v>
      </c>
      <c r="C260" s="2" t="s">
        <v>139</v>
      </c>
      <c r="D260" s="4">
        <v>5.5731406989999996</v>
      </c>
      <c r="E260" s="3">
        <v>25.89</v>
      </c>
      <c r="F260" s="3">
        <v>144.29</v>
      </c>
      <c r="G260" s="3">
        <v>30.46</v>
      </c>
      <c r="H260" s="3">
        <v>-25.44</v>
      </c>
      <c r="I260" s="3">
        <v>169.73</v>
      </c>
    </row>
    <row r="261" spans="1:9" ht="15" customHeight="1" x14ac:dyDescent="0.25">
      <c r="A261" s="2" t="s">
        <v>64</v>
      </c>
      <c r="B261" s="2" t="s">
        <v>140</v>
      </c>
      <c r="C261" s="2" t="s">
        <v>141</v>
      </c>
      <c r="D261" s="4">
        <v>69.169167842999997</v>
      </c>
      <c r="E261" s="3">
        <v>13.75</v>
      </c>
      <c r="F261" s="3">
        <v>951.08</v>
      </c>
      <c r="G261" s="3">
        <v>15.24</v>
      </c>
      <c r="H261" s="3">
        <v>-103.05</v>
      </c>
      <c r="I261" s="3">
        <v>1054.1300000000001</v>
      </c>
    </row>
    <row r="262" spans="1:9" ht="15" customHeight="1" x14ac:dyDescent="0.25">
      <c r="A262" s="2" t="s">
        <v>64</v>
      </c>
      <c r="B262" s="2" t="s">
        <v>158</v>
      </c>
      <c r="C262" s="2" t="s">
        <v>159</v>
      </c>
      <c r="D262" s="4">
        <v>12</v>
      </c>
      <c r="E262" s="3">
        <v>19.850000000000001</v>
      </c>
      <c r="F262" s="3">
        <v>238.2</v>
      </c>
      <c r="G262" s="3">
        <v>19.96</v>
      </c>
      <c r="H262" s="3">
        <v>-1.38</v>
      </c>
      <c r="I262" s="3">
        <v>239.58</v>
      </c>
    </row>
    <row r="263" spans="1:9" ht="15" customHeight="1" x14ac:dyDescent="0.25">
      <c r="A263" s="2" t="s">
        <v>64</v>
      </c>
      <c r="B263" s="2" t="s">
        <v>166</v>
      </c>
      <c r="C263" s="2" t="s">
        <v>167</v>
      </c>
      <c r="D263" s="4">
        <v>6.4260396499999999</v>
      </c>
      <c r="E263" s="3">
        <v>51.08</v>
      </c>
      <c r="F263" s="3">
        <v>328.24</v>
      </c>
      <c r="G263" s="3">
        <v>50.81</v>
      </c>
      <c r="H263" s="3">
        <v>1.76</v>
      </c>
      <c r="I263" s="3">
        <v>326.48</v>
      </c>
    </row>
    <row r="264" spans="1:9" ht="15" customHeight="1" x14ac:dyDescent="0.25">
      <c r="A264" s="2" t="s">
        <v>64</v>
      </c>
      <c r="B264" s="2" t="s">
        <v>170</v>
      </c>
      <c r="C264" s="2" t="s">
        <v>171</v>
      </c>
      <c r="D264" s="4">
        <v>3.7755678659999998</v>
      </c>
      <c r="E264" s="3">
        <v>47.66</v>
      </c>
      <c r="F264" s="3">
        <v>179.92</v>
      </c>
      <c r="G264" s="3">
        <v>47.6</v>
      </c>
      <c r="H264" s="3">
        <v>0.22</v>
      </c>
      <c r="I264" s="3">
        <v>179.71</v>
      </c>
    </row>
    <row r="265" spans="1:9" ht="15" customHeight="1" x14ac:dyDescent="0.25">
      <c r="A265" s="2" t="s">
        <v>64</v>
      </c>
      <c r="B265" s="2" t="s">
        <v>127</v>
      </c>
      <c r="C265" s="2" t="s">
        <v>128</v>
      </c>
      <c r="D265" s="4">
        <v>94.706237279999996</v>
      </c>
      <c r="E265" s="3">
        <v>25.54</v>
      </c>
      <c r="F265" s="3">
        <v>2418.8000000000002</v>
      </c>
      <c r="G265" s="3">
        <v>25.38</v>
      </c>
      <c r="H265" s="3">
        <v>14.71</v>
      </c>
      <c r="I265" s="3">
        <v>2404.08</v>
      </c>
    </row>
    <row r="266" spans="1:9" ht="15" customHeight="1" x14ac:dyDescent="0.25">
      <c r="A266" s="2" t="s">
        <v>64</v>
      </c>
      <c r="B266" s="2" t="s">
        <v>132</v>
      </c>
      <c r="C266" s="2" t="s">
        <v>133</v>
      </c>
      <c r="D266" s="4">
        <v>56</v>
      </c>
      <c r="E266" s="3">
        <v>15.45</v>
      </c>
      <c r="F266" s="3">
        <v>865.2</v>
      </c>
      <c r="G266" s="3">
        <v>15.66</v>
      </c>
      <c r="H266" s="3">
        <v>-11.92</v>
      </c>
      <c r="I266" s="3">
        <v>877.12</v>
      </c>
    </row>
    <row r="267" spans="1:9" ht="15" customHeight="1" x14ac:dyDescent="0.25">
      <c r="A267" s="2" t="s">
        <v>64</v>
      </c>
      <c r="B267" s="2" t="s">
        <v>134</v>
      </c>
      <c r="C267" s="2" t="s">
        <v>142</v>
      </c>
      <c r="D267" s="4">
        <v>71.336386400999999</v>
      </c>
      <c r="E267" s="3">
        <v>25.64</v>
      </c>
      <c r="F267" s="3">
        <v>1828.71</v>
      </c>
      <c r="G267" s="3">
        <v>25.63</v>
      </c>
      <c r="H267" s="3">
        <v>0.23</v>
      </c>
      <c r="I267" s="3">
        <v>1828.48</v>
      </c>
    </row>
    <row r="268" spans="1:9" ht="15" customHeight="1" x14ac:dyDescent="0.25">
      <c r="A268" s="2" t="s">
        <v>64</v>
      </c>
      <c r="B268" s="2" t="s">
        <v>143</v>
      </c>
      <c r="C268" s="2" t="s">
        <v>144</v>
      </c>
      <c r="D268" s="4">
        <v>39.376882719000001</v>
      </c>
      <c r="E268" s="3">
        <v>51.04</v>
      </c>
      <c r="F268" s="3">
        <v>2009.8</v>
      </c>
      <c r="G268" s="3">
        <v>50.68</v>
      </c>
      <c r="H268" s="3">
        <v>14.02</v>
      </c>
      <c r="I268" s="3">
        <v>1995.78</v>
      </c>
    </row>
    <row r="269" spans="1:9" ht="15" customHeight="1" x14ac:dyDescent="0.25">
      <c r="A269" s="2" t="s">
        <v>64</v>
      </c>
      <c r="B269" s="2" t="s">
        <v>160</v>
      </c>
      <c r="C269" s="2" t="s">
        <v>161</v>
      </c>
      <c r="D269" s="4">
        <v>22</v>
      </c>
      <c r="E269" s="3">
        <v>23.88</v>
      </c>
      <c r="F269" s="3">
        <v>525.25</v>
      </c>
      <c r="G269" s="3">
        <v>24.72</v>
      </c>
      <c r="H269" s="3">
        <v>-18.600000000000001</v>
      </c>
      <c r="I269" s="3">
        <v>543.85</v>
      </c>
    </row>
    <row r="270" spans="1:9" ht="15" customHeight="1" x14ac:dyDescent="0.25">
      <c r="A270" s="2" t="s">
        <v>64</v>
      </c>
      <c r="B270" s="2" t="s">
        <v>121</v>
      </c>
      <c r="C270" s="2" t="s">
        <v>172</v>
      </c>
      <c r="D270" s="4">
        <v>30.956689653000002</v>
      </c>
      <c r="E270" s="3">
        <v>32.67</v>
      </c>
      <c r="F270" s="3">
        <v>1011.36</v>
      </c>
      <c r="G270" s="3">
        <v>40.53</v>
      </c>
      <c r="H270" s="3">
        <v>-243.38</v>
      </c>
      <c r="I270" s="3">
        <v>1254.74</v>
      </c>
    </row>
    <row r="271" spans="1:9" ht="15" customHeight="1" x14ac:dyDescent="0.25">
      <c r="A271" s="2" t="s">
        <v>64</v>
      </c>
      <c r="B271" s="2" t="s">
        <v>173</v>
      </c>
      <c r="C271" s="2" t="s">
        <v>174</v>
      </c>
      <c r="D271" s="4">
        <v>3.147079266</v>
      </c>
      <c r="E271" s="3">
        <v>63.48</v>
      </c>
      <c r="F271" s="3">
        <v>199.78</v>
      </c>
      <c r="G271" s="3">
        <v>63.45</v>
      </c>
      <c r="H271" s="3">
        <v>0.1</v>
      </c>
      <c r="I271" s="3">
        <v>199.68</v>
      </c>
    </row>
    <row r="272" spans="1:9" ht="15" customHeight="1" x14ac:dyDescent="0.25">
      <c r="A272" s="2" t="s">
        <v>64</v>
      </c>
      <c r="B272" s="2" t="s">
        <v>107</v>
      </c>
      <c r="C272" s="2" t="s">
        <v>108</v>
      </c>
      <c r="D272" s="4">
        <v>1.8027389920000001</v>
      </c>
      <c r="E272" s="3">
        <v>48.41</v>
      </c>
      <c r="F272" s="3">
        <v>87.27</v>
      </c>
      <c r="G272" s="3">
        <v>47.29</v>
      </c>
      <c r="H272" s="3">
        <v>2.0099999999999998</v>
      </c>
      <c r="I272" s="3">
        <v>85.26</v>
      </c>
    </row>
    <row r="273" spans="1:9" ht="15" customHeight="1" x14ac:dyDescent="0.25">
      <c r="A273" s="2" t="s">
        <v>64</v>
      </c>
      <c r="B273" s="2" t="s">
        <v>152</v>
      </c>
      <c r="C273" s="2" t="s">
        <v>153</v>
      </c>
      <c r="D273" s="4">
        <v>32.131129012000002</v>
      </c>
      <c r="E273" s="3">
        <v>26.85</v>
      </c>
      <c r="F273" s="3">
        <v>862.72</v>
      </c>
      <c r="G273" s="3">
        <v>26.4</v>
      </c>
      <c r="H273" s="3">
        <v>14.5</v>
      </c>
      <c r="I273" s="3">
        <v>848.22</v>
      </c>
    </row>
    <row r="274" spans="1:9" ht="15" customHeight="1" x14ac:dyDescent="0.25">
      <c r="A274" s="2" t="s">
        <v>64</v>
      </c>
      <c r="B274" s="2" t="s">
        <v>113</v>
      </c>
      <c r="C274" s="2" t="s">
        <v>114</v>
      </c>
      <c r="D274" s="4">
        <v>2.9389128389999999</v>
      </c>
      <c r="E274" s="3">
        <v>82.34</v>
      </c>
      <c r="F274" s="3">
        <v>241.99</v>
      </c>
      <c r="G274" s="3">
        <v>69.989999999999995</v>
      </c>
      <c r="H274" s="3">
        <v>36.31</v>
      </c>
      <c r="I274" s="3">
        <v>205.68</v>
      </c>
    </row>
    <row r="275" spans="1:9" ht="15" customHeight="1" x14ac:dyDescent="0.25">
      <c r="A275" s="2" t="s">
        <v>64</v>
      </c>
      <c r="B275" s="2" t="s">
        <v>145</v>
      </c>
      <c r="C275" s="2" t="s">
        <v>146</v>
      </c>
      <c r="D275" s="4">
        <v>34.912265458999997</v>
      </c>
      <c r="E275" s="3">
        <v>18.829999999999998</v>
      </c>
      <c r="F275" s="3">
        <v>657.4</v>
      </c>
      <c r="G275" s="3">
        <v>24.41</v>
      </c>
      <c r="H275" s="3">
        <v>-194.88</v>
      </c>
      <c r="I275" s="3">
        <v>852.28</v>
      </c>
    </row>
    <row r="276" spans="1:9" ht="15" customHeight="1" x14ac:dyDescent="0.25">
      <c r="A276" s="2" t="s">
        <v>64</v>
      </c>
      <c r="B276" s="2" t="s">
        <v>147</v>
      </c>
      <c r="C276" s="2" t="s">
        <v>148</v>
      </c>
      <c r="D276" s="4">
        <v>1.3229356649999999</v>
      </c>
      <c r="E276" s="3">
        <v>84.45</v>
      </c>
      <c r="F276" s="3">
        <v>111.72</v>
      </c>
      <c r="G276" s="3">
        <v>128.30000000000001</v>
      </c>
      <c r="H276" s="3">
        <v>-58.01</v>
      </c>
      <c r="I276" s="3">
        <v>169.73</v>
      </c>
    </row>
    <row r="277" spans="1:9" ht="15" customHeight="1" x14ac:dyDescent="0.25">
      <c r="A277" s="2" t="s">
        <v>64</v>
      </c>
      <c r="B277" s="2" t="s">
        <v>154</v>
      </c>
      <c r="C277" s="2" t="s">
        <v>155</v>
      </c>
      <c r="D277" s="4">
        <v>2.7437819060000002</v>
      </c>
      <c r="E277" s="3">
        <v>54.64</v>
      </c>
      <c r="F277" s="3">
        <v>149.91999999999999</v>
      </c>
      <c r="G277" s="3">
        <v>61.86</v>
      </c>
      <c r="H277" s="3">
        <v>-19.809999999999999</v>
      </c>
      <c r="I277" s="3">
        <v>169.73</v>
      </c>
    </row>
    <row r="278" spans="1:9" ht="15" customHeight="1" x14ac:dyDescent="0.25">
      <c r="A278" s="2" t="s">
        <v>64</v>
      </c>
      <c r="B278" s="2" t="s">
        <v>149</v>
      </c>
      <c r="C278" s="2" t="s">
        <v>150</v>
      </c>
      <c r="D278" s="4">
        <v>3.7018872780000001</v>
      </c>
      <c r="E278" s="3">
        <v>47.81</v>
      </c>
      <c r="F278" s="3">
        <v>176.97</v>
      </c>
      <c r="G278" s="3">
        <v>45.85</v>
      </c>
      <c r="H278" s="3">
        <v>7.24</v>
      </c>
      <c r="I278" s="3">
        <v>169.73</v>
      </c>
    </row>
    <row r="279" spans="1:9" ht="15" customHeight="1" x14ac:dyDescent="0.25">
      <c r="A279" s="2" t="s">
        <v>64</v>
      </c>
      <c r="B279" s="2" t="s">
        <v>129</v>
      </c>
      <c r="C279" s="2" t="s">
        <v>130</v>
      </c>
      <c r="D279" s="4">
        <v>35</v>
      </c>
      <c r="E279" s="3">
        <v>50.72</v>
      </c>
      <c r="F279" s="3">
        <v>1775.2</v>
      </c>
      <c r="G279" s="3">
        <v>50.38</v>
      </c>
      <c r="H279" s="3">
        <v>11.84</v>
      </c>
      <c r="I279" s="3">
        <v>1763.36</v>
      </c>
    </row>
    <row r="280" spans="1:9" ht="15" customHeight="1" x14ac:dyDescent="0.25">
      <c r="A280" s="2" t="s">
        <v>64</v>
      </c>
      <c r="B280" s="2" t="s">
        <v>175</v>
      </c>
      <c r="C280" s="2" t="s">
        <v>176</v>
      </c>
      <c r="D280" s="4">
        <v>3.5858065880000001</v>
      </c>
      <c r="E280" s="3">
        <v>82.49</v>
      </c>
      <c r="F280" s="3">
        <v>295.79000000000002</v>
      </c>
      <c r="G280" s="3">
        <v>67.94</v>
      </c>
      <c r="H280" s="3">
        <v>52.18</v>
      </c>
      <c r="I280" s="3">
        <v>243.61</v>
      </c>
    </row>
    <row r="281" spans="1:9" ht="15" customHeight="1" x14ac:dyDescent="0.25">
      <c r="A281" s="2" t="s">
        <v>64</v>
      </c>
      <c r="B281" s="2" t="s">
        <v>117</v>
      </c>
      <c r="C281" s="2" t="s">
        <v>118</v>
      </c>
      <c r="D281" s="4">
        <v>37.601732540999997</v>
      </c>
      <c r="E281" s="3">
        <v>18.47</v>
      </c>
      <c r="F281" s="3">
        <v>694.5</v>
      </c>
      <c r="G281" s="3">
        <v>18.11</v>
      </c>
      <c r="H281" s="3">
        <v>13.4</v>
      </c>
      <c r="I281" s="3">
        <v>681.1</v>
      </c>
    </row>
    <row r="282" spans="1:9" ht="15" customHeight="1" x14ac:dyDescent="0.25">
      <c r="A282" s="2" t="s">
        <v>64</v>
      </c>
      <c r="B282" s="2" t="s">
        <v>123</v>
      </c>
      <c r="C282" s="2" t="s">
        <v>124</v>
      </c>
      <c r="D282" s="4">
        <v>19.670330243999999</v>
      </c>
      <c r="E282" s="3">
        <v>16.559999999999999</v>
      </c>
      <c r="F282" s="3">
        <v>325.74</v>
      </c>
      <c r="G282" s="3">
        <v>16.39</v>
      </c>
      <c r="H282" s="3">
        <v>3.27</v>
      </c>
      <c r="I282" s="3">
        <v>322.47000000000003</v>
      </c>
    </row>
    <row r="283" spans="1:9" ht="15" customHeight="1" x14ac:dyDescent="0.25">
      <c r="A283" s="2" t="s">
        <v>64</v>
      </c>
      <c r="B283" s="2" t="s">
        <v>119</v>
      </c>
      <c r="C283" s="2" t="s">
        <v>120</v>
      </c>
      <c r="D283" s="4">
        <v>39.941587161000001</v>
      </c>
      <c r="E283" s="3">
        <v>100.68</v>
      </c>
      <c r="F283" s="3">
        <v>4021.32</v>
      </c>
      <c r="G283" s="3">
        <v>100.3</v>
      </c>
      <c r="H283" s="3">
        <v>14.99</v>
      </c>
      <c r="I283" s="3">
        <v>4006.33</v>
      </c>
    </row>
    <row r="284" spans="1:9" ht="15" customHeight="1" x14ac:dyDescent="0.25">
      <c r="A284" s="2" t="s">
        <v>64</v>
      </c>
      <c r="B284" s="2" t="s">
        <v>115</v>
      </c>
      <c r="C284" s="2" t="s">
        <v>116</v>
      </c>
      <c r="D284" s="4">
        <v>52.744726901</v>
      </c>
      <c r="E284" s="3">
        <v>110.51</v>
      </c>
      <c r="F284" s="3">
        <v>5828.56</v>
      </c>
      <c r="G284" s="3">
        <v>110.07</v>
      </c>
      <c r="H284" s="3">
        <v>22.99</v>
      </c>
      <c r="I284" s="3">
        <v>5805.57</v>
      </c>
    </row>
    <row r="285" spans="1:9" ht="15" customHeight="1" x14ac:dyDescent="0.25">
      <c r="A285" s="2" t="s">
        <v>64</v>
      </c>
      <c r="B285" s="2" t="s">
        <v>162</v>
      </c>
      <c r="C285" s="2" t="s">
        <v>163</v>
      </c>
      <c r="D285" s="4">
        <v>21.746560952999999</v>
      </c>
      <c r="E285" s="3">
        <v>25.56</v>
      </c>
      <c r="F285" s="3">
        <v>555.84</v>
      </c>
      <c r="G285" s="3">
        <v>25.32</v>
      </c>
      <c r="H285" s="3">
        <v>5.25</v>
      </c>
      <c r="I285" s="3">
        <v>550.59</v>
      </c>
    </row>
    <row r="286" spans="1:9" ht="15" customHeight="1" x14ac:dyDescent="0.25">
      <c r="A286" s="2" t="s">
        <v>64</v>
      </c>
      <c r="B286" s="2" t="s">
        <v>156</v>
      </c>
      <c r="C286" s="2" t="s">
        <v>157</v>
      </c>
      <c r="D286" s="4">
        <v>51.132948998000003</v>
      </c>
      <c r="E286" s="3">
        <v>21.23</v>
      </c>
      <c r="F286" s="3">
        <v>1085.55</v>
      </c>
      <c r="G286" s="3">
        <v>21.73</v>
      </c>
      <c r="H286" s="3">
        <v>-25.67</v>
      </c>
      <c r="I286" s="3">
        <v>1111.22</v>
      </c>
    </row>
    <row r="287" spans="1:9" ht="15" customHeight="1" x14ac:dyDescent="0.25">
      <c r="A287" s="2" t="s">
        <v>64</v>
      </c>
      <c r="B287" s="2" t="s">
        <v>125</v>
      </c>
      <c r="C287" s="2" t="s">
        <v>126</v>
      </c>
      <c r="D287" s="4">
        <v>55</v>
      </c>
      <c r="E287" s="3">
        <v>12.06</v>
      </c>
      <c r="F287" s="3">
        <v>663.3</v>
      </c>
      <c r="G287" s="3">
        <v>12.45</v>
      </c>
      <c r="H287" s="3">
        <v>-21.26</v>
      </c>
      <c r="I287" s="3">
        <v>684.56</v>
      </c>
    </row>
    <row r="288" spans="1:9" ht="15" customHeight="1" x14ac:dyDescent="0.25">
      <c r="A288" s="2" t="s">
        <v>64</v>
      </c>
      <c r="B288" s="2" t="s">
        <v>177</v>
      </c>
      <c r="C288" s="2" t="s">
        <v>178</v>
      </c>
      <c r="D288" s="4">
        <v>1.061371047</v>
      </c>
      <c r="E288" s="3">
        <v>209.32</v>
      </c>
      <c r="F288" s="3">
        <v>222.17</v>
      </c>
      <c r="G288" s="3">
        <v>209.15</v>
      </c>
      <c r="H288" s="3">
        <v>0.18</v>
      </c>
      <c r="I288" s="3">
        <v>221.99</v>
      </c>
    </row>
    <row r="289" spans="1:9" ht="15" customHeight="1" x14ac:dyDescent="0.25">
      <c r="A289" s="2" t="s">
        <v>64</v>
      </c>
      <c r="B289" s="2" t="s">
        <v>109</v>
      </c>
      <c r="C289" s="2" t="s">
        <v>110</v>
      </c>
      <c r="D289" s="4">
        <v>4</v>
      </c>
      <c r="E289" s="3">
        <v>15.23</v>
      </c>
      <c r="F289" s="3">
        <v>60.92</v>
      </c>
      <c r="G289" s="3">
        <v>16.27</v>
      </c>
      <c r="H289" s="3">
        <v>-4.1500000000000004</v>
      </c>
      <c r="I289" s="3">
        <v>65.069999999999993</v>
      </c>
    </row>
    <row r="290" spans="1:9" ht="15" customHeight="1" x14ac:dyDescent="0.25">
      <c r="A290" s="2" t="s">
        <v>64</v>
      </c>
      <c r="B290" s="2" t="s">
        <v>136</v>
      </c>
      <c r="C290" s="2" t="s">
        <v>151</v>
      </c>
      <c r="D290" s="4">
        <v>43.888929664999999</v>
      </c>
      <c r="E290" s="3">
        <v>25.11</v>
      </c>
      <c r="F290" s="3">
        <v>1102.05</v>
      </c>
      <c r="G290" s="3">
        <v>25.09</v>
      </c>
      <c r="H290" s="3">
        <v>0.82</v>
      </c>
      <c r="I290" s="3">
        <v>1101.23</v>
      </c>
    </row>
    <row r="291" spans="1:9" ht="15" customHeight="1" x14ac:dyDescent="0.25">
      <c r="A291" s="2" t="s">
        <v>64</v>
      </c>
      <c r="B291" s="2" t="s">
        <v>164</v>
      </c>
      <c r="C291" s="2" t="s">
        <v>165</v>
      </c>
      <c r="D291" s="4">
        <v>20.8353219</v>
      </c>
      <c r="E291" s="3">
        <v>16.600000000000001</v>
      </c>
      <c r="F291" s="3">
        <v>345.87</v>
      </c>
      <c r="G291" s="3">
        <v>18.09</v>
      </c>
      <c r="H291" s="3">
        <v>-31.05</v>
      </c>
      <c r="I291" s="3">
        <v>376.91</v>
      </c>
    </row>
    <row r="292" spans="1:9" ht="15" customHeight="1" x14ac:dyDescent="0.25">
      <c r="A292" s="2" t="s">
        <v>66</v>
      </c>
      <c r="B292" s="2" t="s">
        <v>104</v>
      </c>
      <c r="C292" s="2" t="s">
        <v>105</v>
      </c>
      <c r="D292" s="4" t="s">
        <v>106</v>
      </c>
      <c r="E292" s="3"/>
      <c r="F292" s="3">
        <v>165.9</v>
      </c>
      <c r="G292" s="3"/>
      <c r="H292" s="3"/>
      <c r="I292" s="3"/>
    </row>
    <row r="293" spans="1:9" ht="15" customHeight="1" x14ac:dyDescent="0.25">
      <c r="A293" s="2" t="s">
        <v>66</v>
      </c>
      <c r="B293" s="2" t="s">
        <v>111</v>
      </c>
      <c r="C293" s="2" t="s">
        <v>131</v>
      </c>
      <c r="D293" s="4">
        <v>1.4759498200000001</v>
      </c>
      <c r="E293" s="3">
        <v>131.69</v>
      </c>
      <c r="F293" s="3">
        <v>194.37</v>
      </c>
      <c r="G293" s="3">
        <v>117.96</v>
      </c>
      <c r="H293" s="3">
        <v>20.260000000000002</v>
      </c>
      <c r="I293" s="3">
        <v>174.11</v>
      </c>
    </row>
    <row r="294" spans="1:9" ht="15" customHeight="1" x14ac:dyDescent="0.25">
      <c r="A294" s="2" t="s">
        <v>66</v>
      </c>
      <c r="B294" s="2" t="s">
        <v>138</v>
      </c>
      <c r="C294" s="2" t="s">
        <v>139</v>
      </c>
      <c r="D294" s="4">
        <v>5.5731406989999996</v>
      </c>
      <c r="E294" s="3">
        <v>25.54</v>
      </c>
      <c r="F294" s="3">
        <v>142.34</v>
      </c>
      <c r="G294" s="3">
        <v>30.46</v>
      </c>
      <c r="H294" s="3">
        <v>-27.39</v>
      </c>
      <c r="I294" s="3">
        <v>169.73</v>
      </c>
    </row>
    <row r="295" spans="1:9" ht="15" customHeight="1" x14ac:dyDescent="0.25">
      <c r="A295" s="2" t="s">
        <v>66</v>
      </c>
      <c r="B295" s="2" t="s">
        <v>140</v>
      </c>
      <c r="C295" s="2" t="s">
        <v>141</v>
      </c>
      <c r="D295" s="4">
        <v>75.209228836999998</v>
      </c>
      <c r="E295" s="3">
        <v>9.93</v>
      </c>
      <c r="F295" s="3">
        <v>746.83</v>
      </c>
      <c r="G295" s="3">
        <v>14.98</v>
      </c>
      <c r="H295" s="3">
        <v>-380.18</v>
      </c>
      <c r="I295" s="3">
        <v>1127.01</v>
      </c>
    </row>
    <row r="296" spans="1:9" ht="15" customHeight="1" x14ac:dyDescent="0.25">
      <c r="A296" s="2" t="s">
        <v>66</v>
      </c>
      <c r="B296" s="2" t="s">
        <v>158</v>
      </c>
      <c r="C296" s="2" t="s">
        <v>159</v>
      </c>
      <c r="D296" s="4">
        <v>12</v>
      </c>
      <c r="E296" s="3">
        <v>18.989999999999998</v>
      </c>
      <c r="F296" s="3">
        <v>227.88</v>
      </c>
      <c r="G296" s="3">
        <v>19.96</v>
      </c>
      <c r="H296" s="3">
        <v>-11.7</v>
      </c>
      <c r="I296" s="3">
        <v>239.58</v>
      </c>
    </row>
    <row r="297" spans="1:9" ht="15" customHeight="1" x14ac:dyDescent="0.25">
      <c r="A297" s="2" t="s">
        <v>66</v>
      </c>
      <c r="B297" s="2" t="s">
        <v>166</v>
      </c>
      <c r="C297" s="2" t="s">
        <v>167</v>
      </c>
      <c r="D297" s="4">
        <v>6.4260396499999999</v>
      </c>
      <c r="E297" s="3">
        <v>51.09</v>
      </c>
      <c r="F297" s="3">
        <v>328.31</v>
      </c>
      <c r="G297" s="3">
        <v>50.81</v>
      </c>
      <c r="H297" s="3">
        <v>1.83</v>
      </c>
      <c r="I297" s="3">
        <v>326.48</v>
      </c>
    </row>
    <row r="298" spans="1:9" ht="15" customHeight="1" x14ac:dyDescent="0.25">
      <c r="A298" s="2" t="s">
        <v>66</v>
      </c>
      <c r="B298" s="2" t="s">
        <v>170</v>
      </c>
      <c r="C298" s="2" t="s">
        <v>171</v>
      </c>
      <c r="D298" s="4">
        <v>7.7755678660000003</v>
      </c>
      <c r="E298" s="3">
        <v>47.51</v>
      </c>
      <c r="F298" s="3">
        <v>369.42</v>
      </c>
      <c r="G298" s="3">
        <v>47.53</v>
      </c>
      <c r="H298" s="3">
        <v>-0.13</v>
      </c>
      <c r="I298" s="3">
        <v>369.54</v>
      </c>
    </row>
    <row r="299" spans="1:9" ht="15" customHeight="1" x14ac:dyDescent="0.25">
      <c r="A299" s="2" t="s">
        <v>66</v>
      </c>
      <c r="B299" s="2" t="s">
        <v>127</v>
      </c>
      <c r="C299" s="2" t="s">
        <v>128</v>
      </c>
      <c r="D299" s="4">
        <v>106.258318444</v>
      </c>
      <c r="E299" s="3">
        <v>25.58</v>
      </c>
      <c r="F299" s="3">
        <v>2718.09</v>
      </c>
      <c r="G299" s="3">
        <v>25.39</v>
      </c>
      <c r="H299" s="3">
        <v>20.010000000000002</v>
      </c>
      <c r="I299" s="3">
        <v>2698.08</v>
      </c>
    </row>
    <row r="300" spans="1:9" ht="15" customHeight="1" x14ac:dyDescent="0.25">
      <c r="A300" s="2" t="s">
        <v>66</v>
      </c>
      <c r="B300" s="2" t="s">
        <v>132</v>
      </c>
      <c r="C300" s="2" t="s">
        <v>133</v>
      </c>
      <c r="D300" s="4">
        <v>62</v>
      </c>
      <c r="E300" s="3">
        <v>13</v>
      </c>
      <c r="F300" s="3">
        <v>806</v>
      </c>
      <c r="G300" s="3">
        <v>15.53</v>
      </c>
      <c r="H300" s="3">
        <v>-156.91999999999999</v>
      </c>
      <c r="I300" s="3">
        <v>962.92</v>
      </c>
    </row>
    <row r="301" spans="1:9" ht="15" customHeight="1" x14ac:dyDescent="0.25">
      <c r="A301" s="2" t="s">
        <v>66</v>
      </c>
      <c r="B301" s="2" t="s">
        <v>134</v>
      </c>
      <c r="C301" s="2" t="s">
        <v>142</v>
      </c>
      <c r="D301" s="4">
        <v>71.336386400999999</v>
      </c>
      <c r="E301" s="3">
        <v>25.64</v>
      </c>
      <c r="F301" s="3">
        <v>1828.71</v>
      </c>
      <c r="G301" s="3">
        <v>25.63</v>
      </c>
      <c r="H301" s="3">
        <v>0.23</v>
      </c>
      <c r="I301" s="3">
        <v>1828.48</v>
      </c>
    </row>
    <row r="302" spans="1:9" ht="15" customHeight="1" x14ac:dyDescent="0.25">
      <c r="A302" s="2" t="s">
        <v>66</v>
      </c>
      <c r="B302" s="2" t="s">
        <v>143</v>
      </c>
      <c r="C302" s="2" t="s">
        <v>144</v>
      </c>
      <c r="D302" s="4">
        <v>45.150811978</v>
      </c>
      <c r="E302" s="3">
        <v>50.91</v>
      </c>
      <c r="F302" s="3">
        <v>2298.63</v>
      </c>
      <c r="G302" s="3">
        <v>50.7</v>
      </c>
      <c r="H302" s="3">
        <v>9.32</v>
      </c>
      <c r="I302" s="3">
        <v>2289.3000000000002</v>
      </c>
    </row>
    <row r="303" spans="1:9" ht="15" customHeight="1" x14ac:dyDescent="0.25">
      <c r="A303" s="2" t="s">
        <v>66</v>
      </c>
      <c r="B303" s="2" t="s">
        <v>160</v>
      </c>
      <c r="C303" s="2" t="s">
        <v>161</v>
      </c>
      <c r="D303" s="4">
        <v>25</v>
      </c>
      <c r="E303" s="3">
        <v>24.17</v>
      </c>
      <c r="F303" s="3">
        <v>604.17999999999995</v>
      </c>
      <c r="G303" s="3">
        <v>24.62</v>
      </c>
      <c r="H303" s="3">
        <v>-11.28</v>
      </c>
      <c r="I303" s="3">
        <v>615.46</v>
      </c>
    </row>
    <row r="304" spans="1:9" ht="15" customHeight="1" x14ac:dyDescent="0.25">
      <c r="A304" s="2" t="s">
        <v>66</v>
      </c>
      <c r="B304" s="2" t="s">
        <v>121</v>
      </c>
      <c r="C304" s="2" t="s">
        <v>172</v>
      </c>
      <c r="D304" s="4">
        <v>35.125493708999997</v>
      </c>
      <c r="E304" s="3">
        <v>32.4</v>
      </c>
      <c r="F304" s="3">
        <v>1138.22</v>
      </c>
      <c r="G304" s="3">
        <v>39.700000000000003</v>
      </c>
      <c r="H304" s="3">
        <v>-256.3</v>
      </c>
      <c r="I304" s="3">
        <v>1394.52</v>
      </c>
    </row>
    <row r="305" spans="1:9" ht="15" customHeight="1" x14ac:dyDescent="0.25">
      <c r="A305" s="2" t="s">
        <v>66</v>
      </c>
      <c r="B305" s="2" t="s">
        <v>173</v>
      </c>
      <c r="C305" s="2" t="s">
        <v>174</v>
      </c>
      <c r="D305" s="4">
        <v>3.147079266</v>
      </c>
      <c r="E305" s="3">
        <v>71.209999999999994</v>
      </c>
      <c r="F305" s="3">
        <v>224.1</v>
      </c>
      <c r="G305" s="3">
        <v>63.45</v>
      </c>
      <c r="H305" s="3">
        <v>24.43</v>
      </c>
      <c r="I305" s="3">
        <v>199.68</v>
      </c>
    </row>
    <row r="306" spans="1:9" ht="15" customHeight="1" x14ac:dyDescent="0.25">
      <c r="A306" s="2" t="s">
        <v>66</v>
      </c>
      <c r="B306" s="2" t="s">
        <v>107</v>
      </c>
      <c r="C306" s="2" t="s">
        <v>108</v>
      </c>
      <c r="D306" s="4">
        <v>1.8027389920000001</v>
      </c>
      <c r="E306" s="3">
        <v>53.58</v>
      </c>
      <c r="F306" s="3">
        <v>96.59</v>
      </c>
      <c r="G306" s="3">
        <v>47.29</v>
      </c>
      <c r="H306" s="3">
        <v>11.33</v>
      </c>
      <c r="I306" s="3">
        <v>85.26</v>
      </c>
    </row>
    <row r="307" spans="1:9" ht="15" customHeight="1" x14ac:dyDescent="0.25">
      <c r="A307" s="2" t="s">
        <v>66</v>
      </c>
      <c r="B307" s="2" t="s">
        <v>179</v>
      </c>
      <c r="C307" s="2" t="s">
        <v>180</v>
      </c>
      <c r="D307" s="4">
        <v>18</v>
      </c>
      <c r="E307" s="3">
        <v>23.53</v>
      </c>
      <c r="F307" s="3">
        <v>423.54</v>
      </c>
      <c r="G307" s="3">
        <v>24.5</v>
      </c>
      <c r="H307" s="3">
        <v>-17.45</v>
      </c>
      <c r="I307" s="3">
        <v>440.99</v>
      </c>
    </row>
    <row r="308" spans="1:9" ht="15" customHeight="1" x14ac:dyDescent="0.25">
      <c r="A308" s="2" t="s">
        <v>66</v>
      </c>
      <c r="B308" s="2" t="s">
        <v>152</v>
      </c>
      <c r="C308" s="2" t="s">
        <v>153</v>
      </c>
      <c r="D308" s="4">
        <v>35.452459736000002</v>
      </c>
      <c r="E308" s="3">
        <v>20.11</v>
      </c>
      <c r="F308" s="3">
        <v>712.95</v>
      </c>
      <c r="G308" s="3">
        <v>26.32</v>
      </c>
      <c r="H308" s="3">
        <v>-220.13</v>
      </c>
      <c r="I308" s="3">
        <v>933.08</v>
      </c>
    </row>
    <row r="309" spans="1:9" ht="15" customHeight="1" x14ac:dyDescent="0.25">
      <c r="A309" s="2" t="s">
        <v>66</v>
      </c>
      <c r="B309" s="2" t="s">
        <v>113</v>
      </c>
      <c r="C309" s="2" t="s">
        <v>114</v>
      </c>
      <c r="D309" s="4">
        <v>2.9389128389999999</v>
      </c>
      <c r="E309" s="3">
        <v>82.78</v>
      </c>
      <c r="F309" s="3">
        <v>243.28</v>
      </c>
      <c r="G309" s="3">
        <v>69.989999999999995</v>
      </c>
      <c r="H309" s="3">
        <v>37.6</v>
      </c>
      <c r="I309" s="3">
        <v>205.68</v>
      </c>
    </row>
    <row r="310" spans="1:9" ht="15" customHeight="1" x14ac:dyDescent="0.25">
      <c r="A310" s="2" t="s">
        <v>66</v>
      </c>
      <c r="B310" s="2" t="s">
        <v>145</v>
      </c>
      <c r="C310" s="2" t="s">
        <v>146</v>
      </c>
      <c r="D310" s="4">
        <v>34.912265458999997</v>
      </c>
      <c r="E310" s="3">
        <v>18.14</v>
      </c>
      <c r="F310" s="3">
        <v>633.30999999999995</v>
      </c>
      <c r="G310" s="3">
        <v>24.41</v>
      </c>
      <c r="H310" s="3">
        <v>-218.97</v>
      </c>
      <c r="I310" s="3">
        <v>852.28</v>
      </c>
    </row>
    <row r="311" spans="1:9" ht="15" customHeight="1" x14ac:dyDescent="0.25">
      <c r="A311" s="2" t="s">
        <v>66</v>
      </c>
      <c r="B311" s="2" t="s">
        <v>147</v>
      </c>
      <c r="C311" s="2" t="s">
        <v>148</v>
      </c>
      <c r="D311" s="4">
        <v>1.3229356649999999</v>
      </c>
      <c r="E311" s="3">
        <v>90.65</v>
      </c>
      <c r="F311" s="3">
        <v>119.92</v>
      </c>
      <c r="G311" s="3">
        <v>128.30000000000001</v>
      </c>
      <c r="H311" s="3">
        <v>-49.81</v>
      </c>
      <c r="I311" s="3">
        <v>169.73</v>
      </c>
    </row>
    <row r="312" spans="1:9" ht="15" customHeight="1" x14ac:dyDescent="0.25">
      <c r="A312" s="2" t="s">
        <v>66</v>
      </c>
      <c r="B312" s="2" t="s">
        <v>154</v>
      </c>
      <c r="C312" s="2" t="s">
        <v>155</v>
      </c>
      <c r="D312" s="4">
        <v>2.7437819060000002</v>
      </c>
      <c r="E312" s="3">
        <v>57.03</v>
      </c>
      <c r="F312" s="3">
        <v>156.47999999999999</v>
      </c>
      <c r="G312" s="3">
        <v>61.86</v>
      </c>
      <c r="H312" s="3">
        <v>-13.25</v>
      </c>
      <c r="I312" s="3">
        <v>169.73</v>
      </c>
    </row>
    <row r="313" spans="1:9" ht="15" customHeight="1" x14ac:dyDescent="0.25">
      <c r="A313" s="2" t="s">
        <v>66</v>
      </c>
      <c r="B313" s="2" t="s">
        <v>149</v>
      </c>
      <c r="C313" s="2" t="s">
        <v>150</v>
      </c>
      <c r="D313" s="4">
        <v>3.7018872780000001</v>
      </c>
      <c r="E313" s="3">
        <v>47.19</v>
      </c>
      <c r="F313" s="3">
        <v>174.7</v>
      </c>
      <c r="G313" s="3">
        <v>45.85</v>
      </c>
      <c r="H313" s="3">
        <v>4.97</v>
      </c>
      <c r="I313" s="3">
        <v>169.73</v>
      </c>
    </row>
    <row r="314" spans="1:9" ht="15" customHeight="1" x14ac:dyDescent="0.25">
      <c r="A314" s="2" t="s">
        <v>66</v>
      </c>
      <c r="B314" s="2" t="s">
        <v>129</v>
      </c>
      <c r="C314" s="2" t="s">
        <v>130</v>
      </c>
      <c r="D314" s="4">
        <v>39</v>
      </c>
      <c r="E314" s="3">
        <v>50.53</v>
      </c>
      <c r="F314" s="3">
        <v>1970.67</v>
      </c>
      <c r="G314" s="3">
        <v>50.39</v>
      </c>
      <c r="H314" s="3">
        <v>5.52</v>
      </c>
      <c r="I314" s="3">
        <v>1965.15</v>
      </c>
    </row>
    <row r="315" spans="1:9" ht="15" customHeight="1" x14ac:dyDescent="0.25">
      <c r="A315" s="2" t="s">
        <v>66</v>
      </c>
      <c r="B315" s="2" t="s">
        <v>175</v>
      </c>
      <c r="C315" s="2" t="s">
        <v>176</v>
      </c>
      <c r="D315" s="4">
        <v>3.5858065880000001</v>
      </c>
      <c r="E315" s="3">
        <v>84.92</v>
      </c>
      <c r="F315" s="3">
        <v>304.51</v>
      </c>
      <c r="G315" s="3">
        <v>67.94</v>
      </c>
      <c r="H315" s="3">
        <v>60.9</v>
      </c>
      <c r="I315" s="3">
        <v>243.61</v>
      </c>
    </row>
    <row r="316" spans="1:9" ht="15" customHeight="1" x14ac:dyDescent="0.25">
      <c r="A316" s="2" t="s">
        <v>66</v>
      </c>
      <c r="B316" s="2" t="s">
        <v>117</v>
      </c>
      <c r="C316" s="2" t="s">
        <v>118</v>
      </c>
      <c r="D316" s="4">
        <v>37.601732540999997</v>
      </c>
      <c r="E316" s="3">
        <v>17.940000000000001</v>
      </c>
      <c r="F316" s="3">
        <v>674.58</v>
      </c>
      <c r="G316" s="3">
        <v>18.11</v>
      </c>
      <c r="H316" s="3">
        <v>-6.52</v>
      </c>
      <c r="I316" s="3">
        <v>681.1</v>
      </c>
    </row>
    <row r="317" spans="1:9" ht="15" customHeight="1" x14ac:dyDescent="0.25">
      <c r="A317" s="2" t="s">
        <v>66</v>
      </c>
      <c r="B317" s="2" t="s">
        <v>123</v>
      </c>
      <c r="C317" s="2" t="s">
        <v>124</v>
      </c>
      <c r="D317" s="4">
        <v>19.670330243999999</v>
      </c>
      <c r="E317" s="3">
        <v>16.05</v>
      </c>
      <c r="F317" s="3">
        <v>315.70999999999998</v>
      </c>
      <c r="G317" s="3">
        <v>16.39</v>
      </c>
      <c r="H317" s="3">
        <v>-6.77</v>
      </c>
      <c r="I317" s="3">
        <v>322.47000000000003</v>
      </c>
    </row>
    <row r="318" spans="1:9" ht="15" customHeight="1" x14ac:dyDescent="0.25">
      <c r="A318" s="2" t="s">
        <v>66</v>
      </c>
      <c r="B318" s="2" t="s">
        <v>119</v>
      </c>
      <c r="C318" s="2" t="s">
        <v>120</v>
      </c>
      <c r="D318" s="4">
        <v>42.871696204000003</v>
      </c>
      <c r="E318" s="3">
        <v>100.65</v>
      </c>
      <c r="F318" s="3">
        <v>4315.04</v>
      </c>
      <c r="G318" s="3">
        <v>100.31</v>
      </c>
      <c r="H318" s="3">
        <v>14.71</v>
      </c>
      <c r="I318" s="3">
        <v>4300.32</v>
      </c>
    </row>
    <row r="319" spans="1:9" ht="15" customHeight="1" x14ac:dyDescent="0.25">
      <c r="A319" s="2" t="s">
        <v>66</v>
      </c>
      <c r="B319" s="2" t="s">
        <v>115</v>
      </c>
      <c r="C319" s="2" t="s">
        <v>116</v>
      </c>
      <c r="D319" s="4">
        <v>55.414612920000003</v>
      </c>
      <c r="E319" s="3">
        <v>110.45</v>
      </c>
      <c r="F319" s="3">
        <v>6120.54</v>
      </c>
      <c r="G319" s="3">
        <v>110.07</v>
      </c>
      <c r="H319" s="3">
        <v>20.98</v>
      </c>
      <c r="I319" s="3">
        <v>6099.56</v>
      </c>
    </row>
    <row r="320" spans="1:9" ht="15" customHeight="1" x14ac:dyDescent="0.25">
      <c r="A320" s="2" t="s">
        <v>66</v>
      </c>
      <c r="B320" s="2" t="s">
        <v>181</v>
      </c>
      <c r="C320" s="2" t="s">
        <v>182</v>
      </c>
      <c r="D320" s="4">
        <v>9.5861616040000008</v>
      </c>
      <c r="E320" s="3">
        <v>24.19</v>
      </c>
      <c r="F320" s="3">
        <v>231.89</v>
      </c>
      <c r="G320" s="3">
        <v>26.04</v>
      </c>
      <c r="H320" s="3">
        <v>-17.71</v>
      </c>
      <c r="I320" s="3">
        <v>249.6</v>
      </c>
    </row>
    <row r="321" spans="1:9" ht="15" customHeight="1" x14ac:dyDescent="0.25">
      <c r="A321" s="2" t="s">
        <v>66</v>
      </c>
      <c r="B321" s="2" t="s">
        <v>162</v>
      </c>
      <c r="C321" s="2" t="s">
        <v>163</v>
      </c>
      <c r="D321" s="4">
        <v>27.527927901000002</v>
      </c>
      <c r="E321" s="3">
        <v>25.64</v>
      </c>
      <c r="F321" s="3">
        <v>705.82</v>
      </c>
      <c r="G321" s="3">
        <v>25.33</v>
      </c>
      <c r="H321" s="3">
        <v>8.4700000000000006</v>
      </c>
      <c r="I321" s="3">
        <v>697.35</v>
      </c>
    </row>
    <row r="322" spans="1:9" ht="15" customHeight="1" x14ac:dyDescent="0.25">
      <c r="A322" s="2" t="s">
        <v>66</v>
      </c>
      <c r="B322" s="2" t="s">
        <v>156</v>
      </c>
      <c r="C322" s="2" t="s">
        <v>157</v>
      </c>
      <c r="D322" s="4">
        <v>58.138237982</v>
      </c>
      <c r="E322" s="3">
        <v>20.61</v>
      </c>
      <c r="F322" s="3">
        <v>1198.23</v>
      </c>
      <c r="G322" s="3">
        <v>21.64</v>
      </c>
      <c r="H322" s="3">
        <v>-59.75</v>
      </c>
      <c r="I322" s="3">
        <v>1257.97</v>
      </c>
    </row>
    <row r="323" spans="1:9" ht="15" customHeight="1" x14ac:dyDescent="0.25">
      <c r="A323" s="2" t="s">
        <v>66</v>
      </c>
      <c r="B323" s="2" t="s">
        <v>125</v>
      </c>
      <c r="C323" s="2" t="s">
        <v>126</v>
      </c>
      <c r="D323" s="4">
        <v>55</v>
      </c>
      <c r="E323" s="3">
        <v>12.07</v>
      </c>
      <c r="F323" s="3">
        <v>663.85</v>
      </c>
      <c r="G323" s="3">
        <v>12.45</v>
      </c>
      <c r="H323" s="3">
        <v>-20.71</v>
      </c>
      <c r="I323" s="3">
        <v>684.56</v>
      </c>
    </row>
    <row r="324" spans="1:9" ht="15" customHeight="1" x14ac:dyDescent="0.25">
      <c r="A324" s="2" t="s">
        <v>66</v>
      </c>
      <c r="B324" s="2" t="s">
        <v>177</v>
      </c>
      <c r="C324" s="2" t="s">
        <v>178</v>
      </c>
      <c r="D324" s="4">
        <v>1.061371047</v>
      </c>
      <c r="E324" s="3">
        <v>180.53</v>
      </c>
      <c r="F324" s="3">
        <v>191.61</v>
      </c>
      <c r="G324" s="3">
        <v>209.15</v>
      </c>
      <c r="H324" s="3">
        <v>-30.38</v>
      </c>
      <c r="I324" s="3">
        <v>221.99</v>
      </c>
    </row>
    <row r="325" spans="1:9" ht="15" customHeight="1" x14ac:dyDescent="0.25">
      <c r="A325" s="2" t="s">
        <v>66</v>
      </c>
      <c r="B325" s="2" t="s">
        <v>109</v>
      </c>
      <c r="C325" s="2" t="s">
        <v>110</v>
      </c>
      <c r="D325" s="4">
        <v>4</v>
      </c>
      <c r="E325" s="3">
        <v>15.65</v>
      </c>
      <c r="F325" s="3">
        <v>62.62</v>
      </c>
      <c r="G325" s="3">
        <v>16.27</v>
      </c>
      <c r="H325" s="3">
        <v>-2.4500000000000002</v>
      </c>
      <c r="I325" s="3">
        <v>65.069999999999993</v>
      </c>
    </row>
    <row r="326" spans="1:9" ht="15" customHeight="1" x14ac:dyDescent="0.25">
      <c r="A326" s="2" t="s">
        <v>66</v>
      </c>
      <c r="B326" s="2" t="s">
        <v>136</v>
      </c>
      <c r="C326" s="2" t="s">
        <v>151</v>
      </c>
      <c r="D326" s="4">
        <v>43.888929664999999</v>
      </c>
      <c r="E326" s="3">
        <v>25.12</v>
      </c>
      <c r="F326" s="3">
        <v>1102.49</v>
      </c>
      <c r="G326" s="3">
        <v>25.09</v>
      </c>
      <c r="H326" s="3">
        <v>1.26</v>
      </c>
      <c r="I326" s="3">
        <v>1101.23</v>
      </c>
    </row>
    <row r="327" spans="1:9" ht="15" customHeight="1" x14ac:dyDescent="0.25">
      <c r="A327" s="2" t="s">
        <v>66</v>
      </c>
      <c r="B327" s="2" t="s">
        <v>164</v>
      </c>
      <c r="C327" s="2" t="s">
        <v>165</v>
      </c>
      <c r="D327" s="4">
        <v>26.982746411000001</v>
      </c>
      <c r="E327" s="3">
        <v>14.92</v>
      </c>
      <c r="F327" s="3">
        <v>402.58</v>
      </c>
      <c r="G327" s="3">
        <v>17.82</v>
      </c>
      <c r="H327" s="3">
        <v>-78.16</v>
      </c>
      <c r="I327" s="3">
        <v>480.74</v>
      </c>
    </row>
    <row r="328" spans="1:9" ht="15" customHeight="1" x14ac:dyDescent="0.25">
      <c r="A328" s="2" t="s">
        <v>68</v>
      </c>
      <c r="B328" s="2" t="s">
        <v>104</v>
      </c>
      <c r="C328" s="2" t="s">
        <v>105</v>
      </c>
      <c r="D328" s="4" t="s">
        <v>106</v>
      </c>
      <c r="E328" s="3"/>
      <c r="F328" s="3">
        <v>221.9</v>
      </c>
      <c r="G328" s="3"/>
      <c r="H328" s="3"/>
      <c r="I328" s="3"/>
    </row>
    <row r="329" spans="1:9" ht="15" customHeight="1" x14ac:dyDescent="0.25">
      <c r="A329" s="2" t="s">
        <v>68</v>
      </c>
      <c r="B329" s="2" t="s">
        <v>111</v>
      </c>
      <c r="C329" s="2" t="s">
        <v>131</v>
      </c>
      <c r="D329" s="4">
        <v>1.4759498200000001</v>
      </c>
      <c r="E329" s="3">
        <v>106.79</v>
      </c>
      <c r="F329" s="3">
        <v>157.62</v>
      </c>
      <c r="G329" s="3">
        <v>117.96</v>
      </c>
      <c r="H329" s="3">
        <v>-16.489999999999998</v>
      </c>
      <c r="I329" s="3">
        <v>174.11</v>
      </c>
    </row>
    <row r="330" spans="1:9" ht="15" customHeight="1" x14ac:dyDescent="0.25">
      <c r="A330" s="2" t="s">
        <v>68</v>
      </c>
      <c r="B330" s="2" t="s">
        <v>138</v>
      </c>
      <c r="C330" s="2" t="s">
        <v>139</v>
      </c>
      <c r="D330" s="4">
        <v>5.5731406989999996</v>
      </c>
      <c r="E330" s="3">
        <v>26.67</v>
      </c>
      <c r="F330" s="3">
        <v>148.63999999999999</v>
      </c>
      <c r="G330" s="3">
        <v>30.46</v>
      </c>
      <c r="H330" s="3">
        <v>-21.09</v>
      </c>
      <c r="I330" s="3">
        <v>169.73</v>
      </c>
    </row>
    <row r="331" spans="1:9" ht="15" customHeight="1" x14ac:dyDescent="0.25">
      <c r="A331" s="2" t="s">
        <v>68</v>
      </c>
      <c r="B331" s="2" t="s">
        <v>183</v>
      </c>
      <c r="C331" s="2" t="s">
        <v>184</v>
      </c>
      <c r="D331" s="4">
        <v>5.5652232069999998</v>
      </c>
      <c r="E331" s="3">
        <v>26.57</v>
      </c>
      <c r="F331" s="3">
        <v>147.87</v>
      </c>
      <c r="G331" s="3">
        <v>26.91</v>
      </c>
      <c r="H331" s="3">
        <v>-1.89</v>
      </c>
      <c r="I331" s="3">
        <v>149.76</v>
      </c>
    </row>
    <row r="332" spans="1:9" ht="15" customHeight="1" x14ac:dyDescent="0.25">
      <c r="A332" s="2" t="s">
        <v>68</v>
      </c>
      <c r="B332" s="2" t="s">
        <v>140</v>
      </c>
      <c r="C332" s="2" t="s">
        <v>141</v>
      </c>
      <c r="D332" s="4">
        <v>84.153863490000006</v>
      </c>
      <c r="E332" s="3">
        <v>7.67</v>
      </c>
      <c r="F332" s="3">
        <v>645.46</v>
      </c>
      <c r="G332" s="3">
        <v>14.45</v>
      </c>
      <c r="H332" s="3">
        <v>-570.47</v>
      </c>
      <c r="I332" s="3">
        <v>1215.94</v>
      </c>
    </row>
    <row r="333" spans="1:9" ht="15" customHeight="1" x14ac:dyDescent="0.25">
      <c r="A333" s="2" t="s">
        <v>68</v>
      </c>
      <c r="B333" s="2" t="s">
        <v>158</v>
      </c>
      <c r="C333" s="2" t="s">
        <v>159</v>
      </c>
      <c r="D333" s="4">
        <v>12</v>
      </c>
      <c r="E333" s="3">
        <v>16.18</v>
      </c>
      <c r="F333" s="3">
        <v>194.16</v>
      </c>
      <c r="G333" s="3">
        <v>19.96</v>
      </c>
      <c r="H333" s="3">
        <v>-45.42</v>
      </c>
      <c r="I333" s="3">
        <v>239.58</v>
      </c>
    </row>
    <row r="334" spans="1:9" ht="15" customHeight="1" x14ac:dyDescent="0.25">
      <c r="A334" s="2" t="s">
        <v>68</v>
      </c>
      <c r="B334" s="2" t="s">
        <v>166</v>
      </c>
      <c r="C334" s="2" t="s">
        <v>167</v>
      </c>
      <c r="D334" s="4">
        <v>8.4492821239999998</v>
      </c>
      <c r="E334" s="3">
        <v>51.05</v>
      </c>
      <c r="F334" s="3">
        <v>431.34</v>
      </c>
      <c r="G334" s="3">
        <v>50.83</v>
      </c>
      <c r="H334" s="3">
        <v>1.86</v>
      </c>
      <c r="I334" s="3">
        <v>429.48</v>
      </c>
    </row>
    <row r="335" spans="1:9" ht="15" customHeight="1" x14ac:dyDescent="0.25">
      <c r="A335" s="2" t="s">
        <v>68</v>
      </c>
      <c r="B335" s="2" t="s">
        <v>170</v>
      </c>
      <c r="C335" s="2" t="s">
        <v>171</v>
      </c>
      <c r="D335" s="4">
        <v>7.7755678660000003</v>
      </c>
      <c r="E335" s="3">
        <v>47.09</v>
      </c>
      <c r="F335" s="3">
        <v>366.15</v>
      </c>
      <c r="G335" s="3">
        <v>47.53</v>
      </c>
      <c r="H335" s="3">
        <v>-3.39</v>
      </c>
      <c r="I335" s="3">
        <v>369.54</v>
      </c>
    </row>
    <row r="336" spans="1:9" ht="15" customHeight="1" x14ac:dyDescent="0.25">
      <c r="A336" s="2" t="s">
        <v>68</v>
      </c>
      <c r="B336" s="2" t="s">
        <v>127</v>
      </c>
      <c r="C336" s="2" t="s">
        <v>128</v>
      </c>
      <c r="D336" s="4">
        <v>110.30070462899999</v>
      </c>
      <c r="E336" s="3">
        <v>25.55</v>
      </c>
      <c r="F336" s="3">
        <v>2818.18</v>
      </c>
      <c r="G336" s="3">
        <v>25.39</v>
      </c>
      <c r="H336" s="3">
        <v>17.100000000000001</v>
      </c>
      <c r="I336" s="3">
        <v>2801.08</v>
      </c>
    </row>
    <row r="337" spans="1:9" ht="15" customHeight="1" x14ac:dyDescent="0.25">
      <c r="A337" s="2" t="s">
        <v>68</v>
      </c>
      <c r="B337" s="2" t="s">
        <v>132</v>
      </c>
      <c r="C337" s="2" t="s">
        <v>133</v>
      </c>
      <c r="D337" s="4">
        <v>62</v>
      </c>
      <c r="E337" s="3">
        <v>11.82</v>
      </c>
      <c r="F337" s="3">
        <v>732.84</v>
      </c>
      <c r="G337" s="3">
        <v>15.53</v>
      </c>
      <c r="H337" s="3">
        <v>-230.08</v>
      </c>
      <c r="I337" s="3">
        <v>962.92</v>
      </c>
    </row>
    <row r="338" spans="1:9" ht="15" customHeight="1" x14ac:dyDescent="0.25">
      <c r="A338" s="2" t="s">
        <v>68</v>
      </c>
      <c r="B338" s="2" t="s">
        <v>134</v>
      </c>
      <c r="C338" s="2" t="s">
        <v>142</v>
      </c>
      <c r="D338" s="4">
        <v>71.336386400999999</v>
      </c>
      <c r="E338" s="3">
        <v>25.49</v>
      </c>
      <c r="F338" s="3">
        <v>1818.36</v>
      </c>
      <c r="G338" s="3">
        <v>25.63</v>
      </c>
      <c r="H338" s="3">
        <v>-10.11</v>
      </c>
      <c r="I338" s="3">
        <v>1828.48</v>
      </c>
    </row>
    <row r="339" spans="1:9" ht="15" customHeight="1" x14ac:dyDescent="0.25">
      <c r="A339" s="2" t="s">
        <v>68</v>
      </c>
      <c r="B339" s="2" t="s">
        <v>143</v>
      </c>
      <c r="C339" s="2" t="s">
        <v>144</v>
      </c>
      <c r="D339" s="4">
        <v>47.473236817</v>
      </c>
      <c r="E339" s="3">
        <v>50.71</v>
      </c>
      <c r="F339" s="3">
        <v>2407.37</v>
      </c>
      <c r="G339" s="3">
        <v>50.7</v>
      </c>
      <c r="H339" s="3">
        <v>0.26</v>
      </c>
      <c r="I339" s="3">
        <v>2407.11</v>
      </c>
    </row>
    <row r="340" spans="1:9" ht="15" customHeight="1" x14ac:dyDescent="0.25">
      <c r="A340" s="2" t="s">
        <v>68</v>
      </c>
      <c r="B340" s="2" t="s">
        <v>160</v>
      </c>
      <c r="C340" s="2" t="s">
        <v>161</v>
      </c>
      <c r="D340" s="4">
        <v>25</v>
      </c>
      <c r="E340" s="3">
        <v>24.11</v>
      </c>
      <c r="F340" s="3">
        <v>602.66</v>
      </c>
      <c r="G340" s="3">
        <v>24.62</v>
      </c>
      <c r="H340" s="3">
        <v>-12.81</v>
      </c>
      <c r="I340" s="3">
        <v>615.46</v>
      </c>
    </row>
    <row r="341" spans="1:9" ht="15" customHeight="1" x14ac:dyDescent="0.25">
      <c r="A341" s="2" t="s">
        <v>68</v>
      </c>
      <c r="B341" s="2" t="s">
        <v>121</v>
      </c>
      <c r="C341" s="2" t="s">
        <v>172</v>
      </c>
      <c r="D341" s="4">
        <v>35.125493708999997</v>
      </c>
      <c r="E341" s="3">
        <v>32.86</v>
      </c>
      <c r="F341" s="3">
        <v>1154.22</v>
      </c>
      <c r="G341" s="3">
        <v>39.700000000000003</v>
      </c>
      <c r="H341" s="3">
        <v>-240.3</v>
      </c>
      <c r="I341" s="3">
        <v>1394.52</v>
      </c>
    </row>
    <row r="342" spans="1:9" ht="15" customHeight="1" x14ac:dyDescent="0.25">
      <c r="A342" s="2" t="s">
        <v>68</v>
      </c>
      <c r="B342" s="2" t="s">
        <v>173</v>
      </c>
      <c r="C342" s="2" t="s">
        <v>174</v>
      </c>
      <c r="D342" s="4">
        <v>3.147079266</v>
      </c>
      <c r="E342" s="3">
        <v>71.62</v>
      </c>
      <c r="F342" s="3">
        <v>225.39</v>
      </c>
      <c r="G342" s="3">
        <v>63.45</v>
      </c>
      <c r="H342" s="3">
        <v>25.72</v>
      </c>
      <c r="I342" s="3">
        <v>199.68</v>
      </c>
    </row>
    <row r="343" spans="1:9" ht="15" customHeight="1" x14ac:dyDescent="0.25">
      <c r="A343" s="2" t="s">
        <v>68</v>
      </c>
      <c r="B343" s="2" t="s">
        <v>107</v>
      </c>
      <c r="C343" s="2" t="s">
        <v>108</v>
      </c>
      <c r="D343" s="4">
        <v>1.8027389920000001</v>
      </c>
      <c r="E343" s="3">
        <v>54.4</v>
      </c>
      <c r="F343" s="3">
        <v>98.07</v>
      </c>
      <c r="G343" s="3">
        <v>47.29</v>
      </c>
      <c r="H343" s="3">
        <v>12.81</v>
      </c>
      <c r="I343" s="3">
        <v>85.26</v>
      </c>
    </row>
    <row r="344" spans="1:9" ht="15" customHeight="1" x14ac:dyDescent="0.25">
      <c r="A344" s="2" t="s">
        <v>68</v>
      </c>
      <c r="B344" s="2" t="s">
        <v>179</v>
      </c>
      <c r="C344" s="2" t="s">
        <v>180</v>
      </c>
      <c r="D344" s="4">
        <v>21</v>
      </c>
      <c r="E344" s="3">
        <v>22.12</v>
      </c>
      <c r="F344" s="3">
        <v>464.46</v>
      </c>
      <c r="G344" s="3">
        <v>24.26</v>
      </c>
      <c r="H344" s="3">
        <v>-45.08</v>
      </c>
      <c r="I344" s="3">
        <v>509.54</v>
      </c>
    </row>
    <row r="345" spans="1:9" ht="15" customHeight="1" x14ac:dyDescent="0.25">
      <c r="A345" s="2" t="s">
        <v>68</v>
      </c>
      <c r="B345" s="2" t="s">
        <v>152</v>
      </c>
      <c r="C345" s="2" t="s">
        <v>153</v>
      </c>
      <c r="D345" s="4">
        <v>35.452459736000002</v>
      </c>
      <c r="E345" s="3">
        <v>20.329999999999998</v>
      </c>
      <c r="F345" s="3">
        <v>720.75</v>
      </c>
      <c r="G345" s="3">
        <v>26.32</v>
      </c>
      <c r="H345" s="3">
        <v>-212.33</v>
      </c>
      <c r="I345" s="3">
        <v>933.08</v>
      </c>
    </row>
    <row r="346" spans="1:9" ht="15" customHeight="1" x14ac:dyDescent="0.25">
      <c r="A346" s="2" t="s">
        <v>68</v>
      </c>
      <c r="B346" s="2" t="s">
        <v>113</v>
      </c>
      <c r="C346" s="2" t="s">
        <v>114</v>
      </c>
      <c r="D346" s="4">
        <v>2.9389128389999999</v>
      </c>
      <c r="E346" s="3">
        <v>75.86</v>
      </c>
      <c r="F346" s="3">
        <v>222.95</v>
      </c>
      <c r="G346" s="3">
        <v>69.989999999999995</v>
      </c>
      <c r="H346" s="3">
        <v>17.27</v>
      </c>
      <c r="I346" s="3">
        <v>205.68</v>
      </c>
    </row>
    <row r="347" spans="1:9" ht="15" customHeight="1" x14ac:dyDescent="0.25">
      <c r="A347" s="2" t="s">
        <v>68</v>
      </c>
      <c r="B347" s="2" t="s">
        <v>145</v>
      </c>
      <c r="C347" s="2" t="s">
        <v>146</v>
      </c>
      <c r="D347" s="4">
        <v>34.912265458999997</v>
      </c>
      <c r="E347" s="3">
        <v>15.38</v>
      </c>
      <c r="F347" s="3">
        <v>536.95000000000005</v>
      </c>
      <c r="G347" s="3">
        <v>24.41</v>
      </c>
      <c r="H347" s="3">
        <v>-315.33</v>
      </c>
      <c r="I347" s="3">
        <v>852.28</v>
      </c>
    </row>
    <row r="348" spans="1:9" ht="15" customHeight="1" x14ac:dyDescent="0.25">
      <c r="A348" s="2" t="s">
        <v>68</v>
      </c>
      <c r="B348" s="2" t="s">
        <v>147</v>
      </c>
      <c r="C348" s="2" t="s">
        <v>148</v>
      </c>
      <c r="D348" s="4">
        <v>1.3229356649999999</v>
      </c>
      <c r="E348" s="3">
        <v>69.44</v>
      </c>
      <c r="F348" s="3">
        <v>91.86</v>
      </c>
      <c r="G348" s="3">
        <v>128.30000000000001</v>
      </c>
      <c r="H348" s="3">
        <v>-77.87</v>
      </c>
      <c r="I348" s="3">
        <v>169.73</v>
      </c>
    </row>
    <row r="349" spans="1:9" ht="15" customHeight="1" x14ac:dyDescent="0.25">
      <c r="A349" s="2" t="s">
        <v>68</v>
      </c>
      <c r="B349" s="2" t="s">
        <v>154</v>
      </c>
      <c r="C349" s="2" t="s">
        <v>155</v>
      </c>
      <c r="D349" s="4">
        <v>2.7437819060000002</v>
      </c>
      <c r="E349" s="3">
        <v>58.01</v>
      </c>
      <c r="F349" s="3">
        <v>159.16999999999999</v>
      </c>
      <c r="G349" s="3">
        <v>61.86</v>
      </c>
      <c r="H349" s="3">
        <v>-10.56</v>
      </c>
      <c r="I349" s="3">
        <v>169.73</v>
      </c>
    </row>
    <row r="350" spans="1:9" ht="15" customHeight="1" x14ac:dyDescent="0.25">
      <c r="A350" s="2" t="s">
        <v>68</v>
      </c>
      <c r="B350" s="2" t="s">
        <v>149</v>
      </c>
      <c r="C350" s="2" t="s">
        <v>150</v>
      </c>
      <c r="D350" s="4">
        <v>3.7018872780000001</v>
      </c>
      <c r="E350" s="3">
        <v>45.97</v>
      </c>
      <c r="F350" s="3">
        <v>170.17</v>
      </c>
      <c r="G350" s="3">
        <v>45.85</v>
      </c>
      <c r="H350" s="3">
        <v>0.44</v>
      </c>
      <c r="I350" s="3">
        <v>169.73</v>
      </c>
    </row>
    <row r="351" spans="1:9" ht="15" customHeight="1" x14ac:dyDescent="0.25">
      <c r="A351" s="2" t="s">
        <v>68</v>
      </c>
      <c r="B351" s="2" t="s">
        <v>129</v>
      </c>
      <c r="C351" s="2" t="s">
        <v>130</v>
      </c>
      <c r="D351" s="4">
        <v>42</v>
      </c>
      <c r="E351" s="3">
        <v>49.93</v>
      </c>
      <c r="F351" s="3">
        <v>2096.85</v>
      </c>
      <c r="G351" s="3">
        <v>50.38</v>
      </c>
      <c r="H351" s="3">
        <v>-18.93</v>
      </c>
      <c r="I351" s="3">
        <v>2115.7800000000002</v>
      </c>
    </row>
    <row r="352" spans="1:9" ht="15" customHeight="1" x14ac:dyDescent="0.25">
      <c r="A352" s="2" t="s">
        <v>68</v>
      </c>
      <c r="B352" s="2" t="s">
        <v>175</v>
      </c>
      <c r="C352" s="2" t="s">
        <v>176</v>
      </c>
      <c r="D352" s="4">
        <v>3.5858065880000001</v>
      </c>
      <c r="E352" s="3">
        <v>84.4</v>
      </c>
      <c r="F352" s="3">
        <v>302.64</v>
      </c>
      <c r="G352" s="3">
        <v>67.94</v>
      </c>
      <c r="H352" s="3">
        <v>59.03</v>
      </c>
      <c r="I352" s="3">
        <v>243.61</v>
      </c>
    </row>
    <row r="353" spans="1:9" ht="15" customHeight="1" x14ac:dyDescent="0.25">
      <c r="A353" s="2" t="s">
        <v>68</v>
      </c>
      <c r="B353" s="2" t="s">
        <v>117</v>
      </c>
      <c r="C353" s="2" t="s">
        <v>118</v>
      </c>
      <c r="D353" s="4">
        <v>37.601732540999997</v>
      </c>
      <c r="E353" s="3">
        <v>16.63</v>
      </c>
      <c r="F353" s="3">
        <v>625.32000000000005</v>
      </c>
      <c r="G353" s="3">
        <v>18.11</v>
      </c>
      <c r="H353" s="3">
        <v>-55.78</v>
      </c>
      <c r="I353" s="3">
        <v>681.1</v>
      </c>
    </row>
    <row r="354" spans="1:9" ht="15" customHeight="1" x14ac:dyDescent="0.25">
      <c r="A354" s="2" t="s">
        <v>68</v>
      </c>
      <c r="B354" s="2" t="s">
        <v>123</v>
      </c>
      <c r="C354" s="2" t="s">
        <v>124</v>
      </c>
      <c r="D354" s="4">
        <v>19.670330243999999</v>
      </c>
      <c r="E354" s="3">
        <v>15.1</v>
      </c>
      <c r="F354" s="3">
        <v>297.02</v>
      </c>
      <c r="G354" s="3">
        <v>16.39</v>
      </c>
      <c r="H354" s="3">
        <v>-25.45</v>
      </c>
      <c r="I354" s="3">
        <v>322.47000000000003</v>
      </c>
    </row>
    <row r="355" spans="1:9" ht="15" customHeight="1" x14ac:dyDescent="0.25">
      <c r="A355" s="2" t="s">
        <v>68</v>
      </c>
      <c r="B355" s="2" t="s">
        <v>119</v>
      </c>
      <c r="C355" s="2" t="s">
        <v>120</v>
      </c>
      <c r="D355" s="4">
        <v>43.458694749000003</v>
      </c>
      <c r="E355" s="3">
        <v>100.67</v>
      </c>
      <c r="F355" s="3">
        <v>4374.99</v>
      </c>
      <c r="G355" s="3">
        <v>100.31</v>
      </c>
      <c r="H355" s="3">
        <v>15.75</v>
      </c>
      <c r="I355" s="3">
        <v>4359.2299999999996</v>
      </c>
    </row>
    <row r="356" spans="1:9" ht="15" customHeight="1" x14ac:dyDescent="0.25">
      <c r="A356" s="2" t="s">
        <v>68</v>
      </c>
      <c r="B356" s="2" t="s">
        <v>115</v>
      </c>
      <c r="C356" s="2" t="s">
        <v>116</v>
      </c>
      <c r="D356" s="4">
        <v>55.949584495000003</v>
      </c>
      <c r="E356" s="3">
        <v>110.46</v>
      </c>
      <c r="F356" s="3">
        <v>6180.19</v>
      </c>
      <c r="G356" s="3">
        <v>110.07</v>
      </c>
      <c r="H356" s="3">
        <v>21.72</v>
      </c>
      <c r="I356" s="3">
        <v>6158.47</v>
      </c>
    </row>
    <row r="357" spans="1:9" ht="15" customHeight="1" x14ac:dyDescent="0.25">
      <c r="A357" s="2" t="s">
        <v>68</v>
      </c>
      <c r="B357" s="2" t="s">
        <v>181</v>
      </c>
      <c r="C357" s="2" t="s">
        <v>182</v>
      </c>
      <c r="D357" s="4">
        <v>9.5861616040000008</v>
      </c>
      <c r="E357" s="3">
        <v>22.55</v>
      </c>
      <c r="F357" s="3">
        <v>216.12</v>
      </c>
      <c r="G357" s="3">
        <v>26.04</v>
      </c>
      <c r="H357" s="3">
        <v>-33.479999999999997</v>
      </c>
      <c r="I357" s="3">
        <v>249.6</v>
      </c>
    </row>
    <row r="358" spans="1:9" ht="15" customHeight="1" x14ac:dyDescent="0.25">
      <c r="A358" s="2" t="s">
        <v>68</v>
      </c>
      <c r="B358" s="2" t="s">
        <v>162</v>
      </c>
      <c r="C358" s="2" t="s">
        <v>163</v>
      </c>
      <c r="D358" s="4">
        <v>30.429757066000001</v>
      </c>
      <c r="E358" s="3">
        <v>25.16</v>
      </c>
      <c r="F358" s="3">
        <v>765.61</v>
      </c>
      <c r="G358" s="3">
        <v>25.34</v>
      </c>
      <c r="H358" s="3">
        <v>-5.62</v>
      </c>
      <c r="I358" s="3">
        <v>771.23</v>
      </c>
    </row>
    <row r="359" spans="1:9" ht="15" customHeight="1" x14ac:dyDescent="0.25">
      <c r="A359" s="2" t="s">
        <v>68</v>
      </c>
      <c r="B359" s="2" t="s">
        <v>156</v>
      </c>
      <c r="C359" s="2" t="s">
        <v>157</v>
      </c>
      <c r="D359" s="4">
        <v>58.138237982</v>
      </c>
      <c r="E359" s="3">
        <v>18.18</v>
      </c>
      <c r="F359" s="3">
        <v>1056.95</v>
      </c>
      <c r="G359" s="3">
        <v>21.64</v>
      </c>
      <c r="H359" s="3">
        <v>-201.02</v>
      </c>
      <c r="I359" s="3">
        <v>1257.97</v>
      </c>
    </row>
    <row r="360" spans="1:9" ht="15" customHeight="1" x14ac:dyDescent="0.25">
      <c r="A360" s="2" t="s">
        <v>68</v>
      </c>
      <c r="B360" s="2" t="s">
        <v>125</v>
      </c>
      <c r="C360" s="2" t="s">
        <v>126</v>
      </c>
      <c r="D360" s="4">
        <v>55</v>
      </c>
      <c r="E360" s="3">
        <v>11.53</v>
      </c>
      <c r="F360" s="3">
        <v>634.15</v>
      </c>
      <c r="G360" s="3">
        <v>12.45</v>
      </c>
      <c r="H360" s="3">
        <v>-50.41</v>
      </c>
      <c r="I360" s="3">
        <v>684.56</v>
      </c>
    </row>
    <row r="361" spans="1:9" ht="15" customHeight="1" x14ac:dyDescent="0.25">
      <c r="A361" s="2" t="s">
        <v>68</v>
      </c>
      <c r="B361" s="2" t="s">
        <v>177</v>
      </c>
      <c r="C361" s="2" t="s">
        <v>178</v>
      </c>
      <c r="D361" s="4">
        <v>1.061371047</v>
      </c>
      <c r="E361" s="3">
        <v>166</v>
      </c>
      <c r="F361" s="3">
        <v>176.19</v>
      </c>
      <c r="G361" s="3">
        <v>209.15</v>
      </c>
      <c r="H361" s="3">
        <v>-45.8</v>
      </c>
      <c r="I361" s="3">
        <v>221.99</v>
      </c>
    </row>
    <row r="362" spans="1:9" ht="15" customHeight="1" x14ac:dyDescent="0.25">
      <c r="A362" s="2" t="s">
        <v>68</v>
      </c>
      <c r="B362" s="2" t="s">
        <v>109</v>
      </c>
      <c r="C362" s="2" t="s">
        <v>110</v>
      </c>
      <c r="D362" s="4">
        <v>4</v>
      </c>
      <c r="E362" s="3">
        <v>16.02</v>
      </c>
      <c r="F362" s="3">
        <v>64.08</v>
      </c>
      <c r="G362" s="3">
        <v>16.27</v>
      </c>
      <c r="H362" s="3">
        <v>-0.99</v>
      </c>
      <c r="I362" s="3">
        <v>65.069999999999993</v>
      </c>
    </row>
    <row r="363" spans="1:9" ht="15" customHeight="1" x14ac:dyDescent="0.25">
      <c r="A363" s="2" t="s">
        <v>68</v>
      </c>
      <c r="B363" s="2" t="s">
        <v>136</v>
      </c>
      <c r="C363" s="2" t="s">
        <v>151</v>
      </c>
      <c r="D363" s="4">
        <v>43.888929664999999</v>
      </c>
      <c r="E363" s="3">
        <v>25.08</v>
      </c>
      <c r="F363" s="3">
        <v>1100.73</v>
      </c>
      <c r="G363" s="3">
        <v>25.09</v>
      </c>
      <c r="H363" s="3">
        <v>-0.5</v>
      </c>
      <c r="I363" s="3">
        <v>1101.23</v>
      </c>
    </row>
    <row r="364" spans="1:9" ht="15" customHeight="1" x14ac:dyDescent="0.25">
      <c r="A364" s="2" t="s">
        <v>68</v>
      </c>
      <c r="B364" s="2" t="s">
        <v>164</v>
      </c>
      <c r="C364" s="2" t="s">
        <v>165</v>
      </c>
      <c r="D364" s="4">
        <v>32.238393264000003</v>
      </c>
      <c r="E364" s="3">
        <v>13.36</v>
      </c>
      <c r="F364" s="3">
        <v>430.7</v>
      </c>
      <c r="G364" s="3">
        <v>17.2</v>
      </c>
      <c r="H364" s="3">
        <v>-123.92</v>
      </c>
      <c r="I364" s="3">
        <v>554.62</v>
      </c>
    </row>
    <row r="365" spans="1:9" ht="15" customHeight="1" x14ac:dyDescent="0.25">
      <c r="A365" s="2" t="s">
        <v>70</v>
      </c>
      <c r="B365" s="2" t="s">
        <v>104</v>
      </c>
      <c r="C365" s="2" t="s">
        <v>105</v>
      </c>
      <c r="D365" s="4" t="s">
        <v>106</v>
      </c>
      <c r="E365" s="3"/>
      <c r="F365" s="3">
        <v>553.41999999999996</v>
      </c>
      <c r="G365" s="3"/>
      <c r="H365" s="3"/>
      <c r="I365" s="3"/>
    </row>
    <row r="366" spans="1:9" ht="15" customHeight="1" x14ac:dyDescent="0.25">
      <c r="A366" s="2" t="s">
        <v>70</v>
      </c>
      <c r="B366" s="2" t="s">
        <v>111</v>
      </c>
      <c r="C366" s="2" t="s">
        <v>131</v>
      </c>
      <c r="D366" s="4">
        <v>1.4759498200000001</v>
      </c>
      <c r="E366" s="3">
        <v>114.05</v>
      </c>
      <c r="F366" s="3">
        <v>168.33</v>
      </c>
      <c r="G366" s="3">
        <v>117.96</v>
      </c>
      <c r="H366" s="3">
        <v>-5.78</v>
      </c>
      <c r="I366" s="3">
        <v>174.11</v>
      </c>
    </row>
    <row r="367" spans="1:9" ht="15" customHeight="1" x14ac:dyDescent="0.25">
      <c r="A367" s="2" t="s">
        <v>70</v>
      </c>
      <c r="B367" s="2" t="s">
        <v>138</v>
      </c>
      <c r="C367" s="2" t="s">
        <v>139</v>
      </c>
      <c r="D367" s="4">
        <v>5.5731406989999996</v>
      </c>
      <c r="E367" s="3">
        <v>24.71</v>
      </c>
      <c r="F367" s="3">
        <v>137.71</v>
      </c>
      <c r="G367" s="3">
        <v>30.46</v>
      </c>
      <c r="H367" s="3">
        <v>-32.020000000000003</v>
      </c>
      <c r="I367" s="3">
        <v>169.73</v>
      </c>
    </row>
    <row r="368" spans="1:9" ht="15" customHeight="1" x14ac:dyDescent="0.25">
      <c r="A368" s="2" t="s">
        <v>70</v>
      </c>
      <c r="B368" s="2" t="s">
        <v>183</v>
      </c>
      <c r="C368" s="2" t="s">
        <v>184</v>
      </c>
      <c r="D368" s="4">
        <v>8.3084091220000005</v>
      </c>
      <c r="E368" s="3">
        <v>26.38</v>
      </c>
      <c r="F368" s="3">
        <v>219.18</v>
      </c>
      <c r="G368" s="3">
        <v>26.8</v>
      </c>
      <c r="H368" s="3">
        <v>-3.46</v>
      </c>
      <c r="I368" s="3">
        <v>222.64</v>
      </c>
    </row>
    <row r="369" spans="1:9" ht="15" customHeight="1" x14ac:dyDescent="0.25">
      <c r="A369" s="2" t="s">
        <v>70</v>
      </c>
      <c r="B369" s="2" t="s">
        <v>140</v>
      </c>
      <c r="C369" s="2" t="s">
        <v>141</v>
      </c>
      <c r="D369" s="4">
        <v>93.632599346000006</v>
      </c>
      <c r="E369" s="3">
        <v>8.1199999999999992</v>
      </c>
      <c r="F369" s="3">
        <v>760.3</v>
      </c>
      <c r="G369" s="3">
        <v>13.76</v>
      </c>
      <c r="H369" s="3">
        <v>-528.52</v>
      </c>
      <c r="I369" s="3">
        <v>1288.82</v>
      </c>
    </row>
    <row r="370" spans="1:9" ht="15" customHeight="1" x14ac:dyDescent="0.25">
      <c r="A370" s="2" t="s">
        <v>70</v>
      </c>
      <c r="B370" s="2" t="s">
        <v>158</v>
      </c>
      <c r="C370" s="2" t="s">
        <v>159</v>
      </c>
      <c r="D370" s="4">
        <v>12</v>
      </c>
      <c r="E370" s="3">
        <v>14.48</v>
      </c>
      <c r="F370" s="3">
        <v>173.76</v>
      </c>
      <c r="G370" s="3">
        <v>19.96</v>
      </c>
      <c r="H370" s="3">
        <v>-65.819999999999993</v>
      </c>
      <c r="I370" s="3">
        <v>239.58</v>
      </c>
    </row>
    <row r="371" spans="1:9" ht="15" customHeight="1" x14ac:dyDescent="0.25">
      <c r="A371" s="2" t="s">
        <v>70</v>
      </c>
      <c r="B371" s="2" t="s">
        <v>166</v>
      </c>
      <c r="C371" s="2" t="s">
        <v>167</v>
      </c>
      <c r="D371" s="4">
        <v>9.8822916799999998</v>
      </c>
      <c r="E371" s="3">
        <v>50.92</v>
      </c>
      <c r="F371" s="3">
        <v>503.21</v>
      </c>
      <c r="G371" s="3">
        <v>50.83</v>
      </c>
      <c r="H371" s="3">
        <v>0.85</v>
      </c>
      <c r="I371" s="3">
        <v>502.36</v>
      </c>
    </row>
    <row r="372" spans="1:9" ht="15" customHeight="1" x14ac:dyDescent="0.25">
      <c r="A372" s="2" t="s">
        <v>70</v>
      </c>
      <c r="B372" s="2" t="s">
        <v>170</v>
      </c>
      <c r="C372" s="2" t="s">
        <v>171</v>
      </c>
      <c r="D372" s="4">
        <v>9.3249534690000004</v>
      </c>
      <c r="E372" s="3">
        <v>46.66</v>
      </c>
      <c r="F372" s="3">
        <v>435.1</v>
      </c>
      <c r="G372" s="3">
        <v>47.45</v>
      </c>
      <c r="H372" s="3">
        <v>-7.32</v>
      </c>
      <c r="I372" s="3">
        <v>442.42</v>
      </c>
    </row>
    <row r="373" spans="1:9" ht="15" customHeight="1" x14ac:dyDescent="0.25">
      <c r="A373" s="2" t="s">
        <v>70</v>
      </c>
      <c r="B373" s="2" t="s">
        <v>127</v>
      </c>
      <c r="C373" s="2" t="s">
        <v>128</v>
      </c>
      <c r="D373" s="4">
        <v>116.029029827</v>
      </c>
      <c r="E373" s="3">
        <v>25.41</v>
      </c>
      <c r="F373" s="3">
        <v>2948.3</v>
      </c>
      <c r="G373" s="3">
        <v>25.4</v>
      </c>
      <c r="H373" s="3">
        <v>1.45</v>
      </c>
      <c r="I373" s="3">
        <v>2946.85</v>
      </c>
    </row>
    <row r="374" spans="1:9" ht="15" customHeight="1" x14ac:dyDescent="0.25">
      <c r="A374" s="2" t="s">
        <v>70</v>
      </c>
      <c r="B374" s="2" t="s">
        <v>132</v>
      </c>
      <c r="C374" s="2" t="s">
        <v>133</v>
      </c>
      <c r="D374" s="4">
        <v>62</v>
      </c>
      <c r="E374" s="3">
        <v>12.16</v>
      </c>
      <c r="F374" s="3">
        <v>753.92</v>
      </c>
      <c r="G374" s="3">
        <v>15.53</v>
      </c>
      <c r="H374" s="3">
        <v>-209</v>
      </c>
      <c r="I374" s="3">
        <v>962.92</v>
      </c>
    </row>
    <row r="375" spans="1:9" ht="15" customHeight="1" x14ac:dyDescent="0.25">
      <c r="A375" s="2" t="s">
        <v>70</v>
      </c>
      <c r="B375" s="2" t="s">
        <v>134</v>
      </c>
      <c r="C375" s="2" t="s">
        <v>142</v>
      </c>
      <c r="D375" s="4">
        <v>71.336386400999999</v>
      </c>
      <c r="E375" s="3">
        <v>25.43</v>
      </c>
      <c r="F375" s="3">
        <v>1814.08</v>
      </c>
      <c r="G375" s="3">
        <v>25.63</v>
      </c>
      <c r="H375" s="3">
        <v>-14.39</v>
      </c>
      <c r="I375" s="3">
        <v>1828.48</v>
      </c>
    </row>
    <row r="376" spans="1:9" ht="15" customHeight="1" x14ac:dyDescent="0.25">
      <c r="A376" s="2" t="s">
        <v>70</v>
      </c>
      <c r="B376" s="2" t="s">
        <v>143</v>
      </c>
      <c r="C376" s="2" t="s">
        <v>144</v>
      </c>
      <c r="D376" s="4">
        <v>48.916748146000003</v>
      </c>
      <c r="E376" s="3">
        <v>50.54</v>
      </c>
      <c r="F376" s="3">
        <v>2472.25</v>
      </c>
      <c r="G376" s="3">
        <v>50.7</v>
      </c>
      <c r="H376" s="3">
        <v>-7.74</v>
      </c>
      <c r="I376" s="3">
        <v>2479.9899999999998</v>
      </c>
    </row>
    <row r="377" spans="1:9" ht="15" customHeight="1" x14ac:dyDescent="0.25">
      <c r="A377" s="2" t="s">
        <v>70</v>
      </c>
      <c r="B377" s="2" t="s">
        <v>185</v>
      </c>
      <c r="C377" s="2" t="s">
        <v>186</v>
      </c>
      <c r="D377" s="4">
        <v>1.5070929310000001</v>
      </c>
      <c r="E377" s="3">
        <v>48.06</v>
      </c>
      <c r="F377" s="3">
        <v>72.430000000000007</v>
      </c>
      <c r="G377" s="3">
        <v>48.36</v>
      </c>
      <c r="H377" s="3">
        <v>-0.45</v>
      </c>
      <c r="I377" s="3">
        <v>72.88</v>
      </c>
    </row>
    <row r="378" spans="1:9" ht="15" customHeight="1" x14ac:dyDescent="0.25">
      <c r="A378" s="2" t="s">
        <v>70</v>
      </c>
      <c r="B378" s="2" t="s">
        <v>160</v>
      </c>
      <c r="C378" s="2" t="s">
        <v>161</v>
      </c>
      <c r="D378" s="4">
        <v>25</v>
      </c>
      <c r="E378" s="3">
        <v>23.66</v>
      </c>
      <c r="F378" s="3">
        <v>591.58000000000004</v>
      </c>
      <c r="G378" s="3">
        <v>24.62</v>
      </c>
      <c r="H378" s="3">
        <v>-23.89</v>
      </c>
      <c r="I378" s="3">
        <v>615.46</v>
      </c>
    </row>
    <row r="379" spans="1:9" ht="15" customHeight="1" x14ac:dyDescent="0.25">
      <c r="A379" s="2" t="s">
        <v>70</v>
      </c>
      <c r="B379" s="2" t="s">
        <v>121</v>
      </c>
      <c r="C379" s="2" t="s">
        <v>172</v>
      </c>
      <c r="D379" s="4">
        <v>35.125493708999997</v>
      </c>
      <c r="E379" s="3">
        <v>30.58</v>
      </c>
      <c r="F379" s="3">
        <v>1074.1400000000001</v>
      </c>
      <c r="G379" s="3">
        <v>39.700000000000003</v>
      </c>
      <c r="H379" s="3">
        <v>-320.38</v>
      </c>
      <c r="I379" s="3">
        <v>1394.52</v>
      </c>
    </row>
    <row r="380" spans="1:9" ht="15" customHeight="1" x14ac:dyDescent="0.25">
      <c r="A380" s="2" t="s">
        <v>70</v>
      </c>
      <c r="B380" s="2" t="s">
        <v>173</v>
      </c>
      <c r="C380" s="2" t="s">
        <v>174</v>
      </c>
      <c r="D380" s="4">
        <v>3.147079266</v>
      </c>
      <c r="E380" s="3">
        <v>72.55</v>
      </c>
      <c r="F380" s="3">
        <v>228.32</v>
      </c>
      <c r="G380" s="3">
        <v>63.45</v>
      </c>
      <c r="H380" s="3">
        <v>28.64</v>
      </c>
      <c r="I380" s="3">
        <v>199.68</v>
      </c>
    </row>
    <row r="381" spans="1:9" ht="15" customHeight="1" x14ac:dyDescent="0.25">
      <c r="A381" s="2" t="s">
        <v>70</v>
      </c>
      <c r="B381" s="2" t="s">
        <v>179</v>
      </c>
      <c r="C381" s="2" t="s">
        <v>180</v>
      </c>
      <c r="D381" s="4">
        <v>26</v>
      </c>
      <c r="E381" s="3">
        <v>23.03</v>
      </c>
      <c r="F381" s="3">
        <v>598.79</v>
      </c>
      <c r="G381" s="3">
        <v>23.97</v>
      </c>
      <c r="H381" s="3">
        <v>-24.5</v>
      </c>
      <c r="I381" s="3">
        <v>623.29</v>
      </c>
    </row>
    <row r="382" spans="1:9" ht="15" customHeight="1" x14ac:dyDescent="0.25">
      <c r="A382" s="2" t="s">
        <v>70</v>
      </c>
      <c r="B382" s="2" t="s">
        <v>152</v>
      </c>
      <c r="C382" s="2" t="s">
        <v>153</v>
      </c>
      <c r="D382" s="4">
        <v>35.452459736000002</v>
      </c>
      <c r="E382" s="3">
        <v>24.34</v>
      </c>
      <c r="F382" s="3">
        <v>862.91</v>
      </c>
      <c r="G382" s="3">
        <v>26.32</v>
      </c>
      <c r="H382" s="3">
        <v>-70.17</v>
      </c>
      <c r="I382" s="3">
        <v>933.08</v>
      </c>
    </row>
    <row r="383" spans="1:9" ht="15" customHeight="1" x14ac:dyDescent="0.25">
      <c r="A383" s="2" t="s">
        <v>70</v>
      </c>
      <c r="B383" s="2" t="s">
        <v>113</v>
      </c>
      <c r="C383" s="2" t="s">
        <v>114</v>
      </c>
      <c r="D383" s="4">
        <v>2.9389128389999999</v>
      </c>
      <c r="E383" s="3">
        <v>76.209999999999994</v>
      </c>
      <c r="F383" s="3">
        <v>223.97</v>
      </c>
      <c r="G383" s="3">
        <v>69.989999999999995</v>
      </c>
      <c r="H383" s="3">
        <v>18.29</v>
      </c>
      <c r="I383" s="3">
        <v>205.68</v>
      </c>
    </row>
    <row r="384" spans="1:9" ht="15" customHeight="1" x14ac:dyDescent="0.25">
      <c r="A384" s="2" t="s">
        <v>70</v>
      </c>
      <c r="B384" s="2" t="s">
        <v>145</v>
      </c>
      <c r="C384" s="2" t="s">
        <v>146</v>
      </c>
      <c r="D384" s="4">
        <v>34.912265458999997</v>
      </c>
      <c r="E384" s="3">
        <v>14.38</v>
      </c>
      <c r="F384" s="3">
        <v>502.04</v>
      </c>
      <c r="G384" s="3">
        <v>24.41</v>
      </c>
      <c r="H384" s="3">
        <v>-350.24</v>
      </c>
      <c r="I384" s="3">
        <v>852.28</v>
      </c>
    </row>
    <row r="385" spans="1:9" ht="15" customHeight="1" x14ac:dyDescent="0.25">
      <c r="A385" s="2" t="s">
        <v>70</v>
      </c>
      <c r="B385" s="2" t="s">
        <v>147</v>
      </c>
      <c r="C385" s="2" t="s">
        <v>148</v>
      </c>
      <c r="D385" s="4">
        <v>1.3229356649999999</v>
      </c>
      <c r="E385" s="3">
        <v>66.45</v>
      </c>
      <c r="F385" s="3">
        <v>87.91</v>
      </c>
      <c r="G385" s="3">
        <v>128.30000000000001</v>
      </c>
      <c r="H385" s="3">
        <v>-81.819999999999993</v>
      </c>
      <c r="I385" s="3">
        <v>169.73</v>
      </c>
    </row>
    <row r="386" spans="1:9" ht="15" customHeight="1" x14ac:dyDescent="0.25">
      <c r="A386" s="2" t="s">
        <v>70</v>
      </c>
      <c r="B386" s="2" t="s">
        <v>154</v>
      </c>
      <c r="C386" s="2" t="s">
        <v>155</v>
      </c>
      <c r="D386" s="4">
        <v>2.7437819060000002</v>
      </c>
      <c r="E386" s="3">
        <v>57.86</v>
      </c>
      <c r="F386" s="3">
        <v>158.76</v>
      </c>
      <c r="G386" s="3">
        <v>61.86</v>
      </c>
      <c r="H386" s="3">
        <v>-10.97</v>
      </c>
      <c r="I386" s="3">
        <v>169.73</v>
      </c>
    </row>
    <row r="387" spans="1:9" ht="15" customHeight="1" x14ac:dyDescent="0.25">
      <c r="A387" s="2" t="s">
        <v>70</v>
      </c>
      <c r="B387" s="2" t="s">
        <v>149</v>
      </c>
      <c r="C387" s="2" t="s">
        <v>150</v>
      </c>
      <c r="D387" s="4">
        <v>3.7018872780000001</v>
      </c>
      <c r="E387" s="3">
        <v>47.26</v>
      </c>
      <c r="F387" s="3">
        <v>174.95</v>
      </c>
      <c r="G387" s="3">
        <v>45.85</v>
      </c>
      <c r="H387" s="3">
        <v>5.22</v>
      </c>
      <c r="I387" s="3">
        <v>169.73</v>
      </c>
    </row>
    <row r="388" spans="1:9" ht="15" customHeight="1" x14ac:dyDescent="0.25">
      <c r="A388" s="2" t="s">
        <v>70</v>
      </c>
      <c r="B388" s="2" t="s">
        <v>129</v>
      </c>
      <c r="C388" s="2" t="s">
        <v>130</v>
      </c>
      <c r="D388" s="4">
        <v>45</v>
      </c>
      <c r="E388" s="3">
        <v>49.11</v>
      </c>
      <c r="F388" s="3">
        <v>2209.86</v>
      </c>
      <c r="G388" s="3">
        <v>50.32</v>
      </c>
      <c r="H388" s="3">
        <v>-54.75</v>
      </c>
      <c r="I388" s="3">
        <v>2264.61</v>
      </c>
    </row>
    <row r="389" spans="1:9" ht="15" customHeight="1" x14ac:dyDescent="0.25">
      <c r="A389" s="2" t="s">
        <v>70</v>
      </c>
      <c r="B389" s="2" t="s">
        <v>175</v>
      </c>
      <c r="C389" s="2" t="s">
        <v>176</v>
      </c>
      <c r="D389" s="4">
        <v>3.5858065880000001</v>
      </c>
      <c r="E389" s="3">
        <v>118.44</v>
      </c>
      <c r="F389" s="3">
        <v>424.7</v>
      </c>
      <c r="G389" s="3">
        <v>67.94</v>
      </c>
      <c r="H389" s="3">
        <v>181.09</v>
      </c>
      <c r="I389" s="3">
        <v>243.61</v>
      </c>
    </row>
    <row r="390" spans="1:9" ht="15" customHeight="1" x14ac:dyDescent="0.25">
      <c r="A390" s="2" t="s">
        <v>70</v>
      </c>
      <c r="B390" s="2" t="s">
        <v>117</v>
      </c>
      <c r="C390" s="2" t="s">
        <v>118</v>
      </c>
      <c r="D390" s="4">
        <v>37.601732540999997</v>
      </c>
      <c r="E390" s="3">
        <v>16.3</v>
      </c>
      <c r="F390" s="3">
        <v>612.91</v>
      </c>
      <c r="G390" s="3">
        <v>18.11</v>
      </c>
      <c r="H390" s="3">
        <v>-68.19</v>
      </c>
      <c r="I390" s="3">
        <v>681.1</v>
      </c>
    </row>
    <row r="391" spans="1:9" ht="15" customHeight="1" x14ac:dyDescent="0.25">
      <c r="A391" s="2" t="s">
        <v>70</v>
      </c>
      <c r="B391" s="2" t="s">
        <v>187</v>
      </c>
      <c r="C391" s="2" t="s">
        <v>188</v>
      </c>
      <c r="D391" s="4">
        <v>12</v>
      </c>
      <c r="E391" s="3">
        <v>36.799999999999997</v>
      </c>
      <c r="F391" s="3">
        <v>441.6</v>
      </c>
      <c r="G391" s="3">
        <v>37.28</v>
      </c>
      <c r="H391" s="3">
        <v>-5.8</v>
      </c>
      <c r="I391" s="3">
        <v>447.4</v>
      </c>
    </row>
    <row r="392" spans="1:9" ht="15" customHeight="1" x14ac:dyDescent="0.25">
      <c r="A392" s="2" t="s">
        <v>70</v>
      </c>
      <c r="B392" s="2" t="s">
        <v>123</v>
      </c>
      <c r="C392" s="2" t="s">
        <v>124</v>
      </c>
      <c r="D392" s="4">
        <v>19.670330243999999</v>
      </c>
      <c r="E392" s="3">
        <v>14.49</v>
      </c>
      <c r="F392" s="3">
        <v>285.02</v>
      </c>
      <c r="G392" s="3">
        <v>16.39</v>
      </c>
      <c r="H392" s="3">
        <v>-37.450000000000003</v>
      </c>
      <c r="I392" s="3">
        <v>322.47000000000003</v>
      </c>
    </row>
    <row r="393" spans="1:9" ht="15" customHeight="1" x14ac:dyDescent="0.25">
      <c r="A393" s="2" t="s">
        <v>70</v>
      </c>
      <c r="B393" s="2" t="s">
        <v>119</v>
      </c>
      <c r="C393" s="2" t="s">
        <v>120</v>
      </c>
      <c r="D393" s="4">
        <v>44.184967319999998</v>
      </c>
      <c r="E393" s="3">
        <v>100.69</v>
      </c>
      <c r="F393" s="3">
        <v>4448.9799999999996</v>
      </c>
      <c r="G393" s="3">
        <v>100.31</v>
      </c>
      <c r="H393" s="3">
        <v>16.87</v>
      </c>
      <c r="I393" s="3">
        <v>4432.1099999999997</v>
      </c>
    </row>
    <row r="394" spans="1:9" ht="15" customHeight="1" x14ac:dyDescent="0.25">
      <c r="A394" s="2" t="s">
        <v>70</v>
      </c>
      <c r="B394" s="2" t="s">
        <v>115</v>
      </c>
      <c r="C394" s="2" t="s">
        <v>116</v>
      </c>
      <c r="D394" s="4">
        <v>57.275675794999998</v>
      </c>
      <c r="E394" s="3">
        <v>110.46</v>
      </c>
      <c r="F394" s="3">
        <v>6326.67</v>
      </c>
      <c r="G394" s="3">
        <v>110.07</v>
      </c>
      <c r="H394" s="3">
        <v>22.2</v>
      </c>
      <c r="I394" s="3">
        <v>6304.47</v>
      </c>
    </row>
    <row r="395" spans="1:9" ht="15" customHeight="1" x14ac:dyDescent="0.25">
      <c r="A395" s="2" t="s">
        <v>70</v>
      </c>
      <c r="B395" s="2" t="s">
        <v>181</v>
      </c>
      <c r="C395" s="2" t="s">
        <v>182</v>
      </c>
      <c r="D395" s="4">
        <v>9.5861616040000008</v>
      </c>
      <c r="E395" s="3">
        <v>21.42</v>
      </c>
      <c r="F395" s="3">
        <v>205.34</v>
      </c>
      <c r="G395" s="3">
        <v>26.04</v>
      </c>
      <c r="H395" s="3">
        <v>-44.27</v>
      </c>
      <c r="I395" s="3">
        <v>249.6</v>
      </c>
    </row>
    <row r="396" spans="1:9" ht="15" customHeight="1" x14ac:dyDescent="0.25">
      <c r="A396" s="2" t="s">
        <v>70</v>
      </c>
      <c r="B396" s="2" t="s">
        <v>162</v>
      </c>
      <c r="C396" s="2" t="s">
        <v>189</v>
      </c>
      <c r="D396" s="4">
        <v>33.345340182000001</v>
      </c>
      <c r="E396" s="3">
        <v>24.99</v>
      </c>
      <c r="F396" s="3">
        <v>833.3</v>
      </c>
      <c r="G396" s="3">
        <v>25.31</v>
      </c>
      <c r="H396" s="3">
        <v>-10.8</v>
      </c>
      <c r="I396" s="3">
        <v>844.1</v>
      </c>
    </row>
    <row r="397" spans="1:9" ht="15" customHeight="1" x14ac:dyDescent="0.25">
      <c r="A397" s="2" t="s">
        <v>70</v>
      </c>
      <c r="B397" s="2" t="s">
        <v>125</v>
      </c>
      <c r="C397" s="2" t="s">
        <v>126</v>
      </c>
      <c r="D397" s="4">
        <v>55</v>
      </c>
      <c r="E397" s="3">
        <v>10.95</v>
      </c>
      <c r="F397" s="3">
        <v>602.25</v>
      </c>
      <c r="G397" s="3">
        <v>12.45</v>
      </c>
      <c r="H397" s="3">
        <v>-82.31</v>
      </c>
      <c r="I397" s="3">
        <v>684.56</v>
      </c>
    </row>
    <row r="398" spans="1:9" ht="15" customHeight="1" x14ac:dyDescent="0.25">
      <c r="A398" s="2" t="s">
        <v>70</v>
      </c>
      <c r="B398" s="2" t="s">
        <v>177</v>
      </c>
      <c r="C398" s="2" t="s">
        <v>178</v>
      </c>
      <c r="D398" s="4">
        <v>1.061371047</v>
      </c>
      <c r="E398" s="3">
        <v>166.69</v>
      </c>
      <c r="F398" s="3">
        <v>176.92</v>
      </c>
      <c r="G398" s="3">
        <v>209.15</v>
      </c>
      <c r="H398" s="3">
        <v>-45.07</v>
      </c>
      <c r="I398" s="3">
        <v>221.99</v>
      </c>
    </row>
    <row r="399" spans="1:9" ht="15" customHeight="1" x14ac:dyDescent="0.25">
      <c r="A399" s="2" t="s">
        <v>70</v>
      </c>
      <c r="B399" s="2" t="s">
        <v>190</v>
      </c>
      <c r="C399" s="2" t="s">
        <v>191</v>
      </c>
      <c r="D399" s="4">
        <v>14</v>
      </c>
      <c r="E399" s="3">
        <v>25.38</v>
      </c>
      <c r="F399" s="3">
        <v>355.32</v>
      </c>
      <c r="G399" s="3">
        <v>24.81</v>
      </c>
      <c r="H399" s="3">
        <v>8.02</v>
      </c>
      <c r="I399" s="3">
        <v>347.3</v>
      </c>
    </row>
    <row r="400" spans="1:9" ht="15" customHeight="1" x14ac:dyDescent="0.25">
      <c r="A400" s="2" t="s">
        <v>70</v>
      </c>
      <c r="B400" s="2" t="s">
        <v>109</v>
      </c>
      <c r="C400" s="2" t="s">
        <v>110</v>
      </c>
      <c r="D400" s="4">
        <v>4</v>
      </c>
      <c r="E400" s="3">
        <v>15.6</v>
      </c>
      <c r="F400" s="3">
        <v>62.4</v>
      </c>
      <c r="G400" s="3">
        <v>16.27</v>
      </c>
      <c r="H400" s="3">
        <v>-2.67</v>
      </c>
      <c r="I400" s="3">
        <v>65.069999999999993</v>
      </c>
    </row>
    <row r="401" spans="1:9" ht="15" customHeight="1" x14ac:dyDescent="0.25">
      <c r="A401" s="2" t="s">
        <v>70</v>
      </c>
      <c r="B401" s="2" t="s">
        <v>136</v>
      </c>
      <c r="C401" s="2" t="s">
        <v>151</v>
      </c>
      <c r="D401" s="4">
        <v>43.888929664999999</v>
      </c>
      <c r="E401" s="3">
        <v>24.99</v>
      </c>
      <c r="F401" s="3">
        <v>1096.78</v>
      </c>
      <c r="G401" s="3">
        <v>25.09</v>
      </c>
      <c r="H401" s="3">
        <v>-4.45</v>
      </c>
      <c r="I401" s="3">
        <v>1101.23</v>
      </c>
    </row>
    <row r="402" spans="1:9" ht="15" customHeight="1" x14ac:dyDescent="0.25">
      <c r="A402" s="2" t="s">
        <v>70</v>
      </c>
      <c r="B402" s="2" t="s">
        <v>164</v>
      </c>
      <c r="C402" s="2" t="s">
        <v>165</v>
      </c>
      <c r="D402" s="4">
        <v>32.238393264000003</v>
      </c>
      <c r="E402" s="3">
        <v>13.24</v>
      </c>
      <c r="F402" s="3">
        <v>426.84</v>
      </c>
      <c r="G402" s="3">
        <v>17.2</v>
      </c>
      <c r="H402" s="3">
        <v>-127.78</v>
      </c>
      <c r="I402" s="3">
        <v>554.62</v>
      </c>
    </row>
    <row r="403" spans="1:9" ht="15" customHeight="1" x14ac:dyDescent="0.25">
      <c r="A403" s="2" t="s">
        <v>72</v>
      </c>
      <c r="B403" s="2" t="s">
        <v>104</v>
      </c>
      <c r="C403" s="2" t="s">
        <v>105</v>
      </c>
      <c r="D403" s="4" t="s">
        <v>106</v>
      </c>
      <c r="E403" s="3"/>
      <c r="F403" s="3">
        <v>143.87</v>
      </c>
      <c r="G403" s="3"/>
      <c r="H403" s="3"/>
      <c r="I403" s="3"/>
    </row>
    <row r="404" spans="1:9" ht="15" customHeight="1" x14ac:dyDescent="0.25">
      <c r="A404" s="2" t="s">
        <v>72</v>
      </c>
      <c r="B404" s="2" t="s">
        <v>192</v>
      </c>
      <c r="C404" s="2" t="s">
        <v>193</v>
      </c>
      <c r="D404" s="4">
        <v>1.223769366</v>
      </c>
      <c r="E404" s="3">
        <v>40.299999999999997</v>
      </c>
      <c r="F404" s="3">
        <v>49.32</v>
      </c>
      <c r="G404" s="3">
        <v>40.79</v>
      </c>
      <c r="H404" s="3">
        <v>-0.6</v>
      </c>
      <c r="I404" s="3">
        <v>49.92</v>
      </c>
    </row>
    <row r="405" spans="1:9" ht="15" customHeight="1" x14ac:dyDescent="0.25">
      <c r="A405" s="2" t="s">
        <v>72</v>
      </c>
      <c r="B405" s="2" t="s">
        <v>111</v>
      </c>
      <c r="C405" s="2" t="s">
        <v>131</v>
      </c>
      <c r="D405" s="4">
        <v>1.4759498200000001</v>
      </c>
      <c r="E405" s="3">
        <v>124.54</v>
      </c>
      <c r="F405" s="3">
        <v>183.81</v>
      </c>
      <c r="G405" s="3">
        <v>117.96</v>
      </c>
      <c r="H405" s="3">
        <v>9.6999999999999993</v>
      </c>
      <c r="I405" s="3">
        <v>174.11</v>
      </c>
    </row>
    <row r="406" spans="1:9" ht="15" customHeight="1" x14ac:dyDescent="0.25">
      <c r="A406" s="2" t="s">
        <v>72</v>
      </c>
      <c r="B406" s="2" t="s">
        <v>138</v>
      </c>
      <c r="C406" s="2" t="s">
        <v>139</v>
      </c>
      <c r="D406" s="4">
        <v>5.5731406989999996</v>
      </c>
      <c r="E406" s="3">
        <v>22.89</v>
      </c>
      <c r="F406" s="3">
        <v>127.57</v>
      </c>
      <c r="G406" s="3">
        <v>30.46</v>
      </c>
      <c r="H406" s="3">
        <v>-42.16</v>
      </c>
      <c r="I406" s="3">
        <v>169.73</v>
      </c>
    </row>
    <row r="407" spans="1:9" ht="15" customHeight="1" x14ac:dyDescent="0.25">
      <c r="A407" s="2" t="s">
        <v>72</v>
      </c>
      <c r="B407" s="2" t="s">
        <v>183</v>
      </c>
      <c r="C407" s="2" t="s">
        <v>184</v>
      </c>
      <c r="D407" s="4">
        <v>10.572208304</v>
      </c>
      <c r="E407" s="3">
        <v>26.91</v>
      </c>
      <c r="F407" s="3">
        <v>284.5</v>
      </c>
      <c r="G407" s="3">
        <v>26.72</v>
      </c>
      <c r="H407" s="3">
        <v>1.96</v>
      </c>
      <c r="I407" s="3">
        <v>282.54000000000002</v>
      </c>
    </row>
    <row r="408" spans="1:9" ht="15" customHeight="1" x14ac:dyDescent="0.25">
      <c r="A408" s="2" t="s">
        <v>72</v>
      </c>
      <c r="B408" s="2" t="s">
        <v>140</v>
      </c>
      <c r="C408" s="2" t="s">
        <v>141</v>
      </c>
      <c r="D408" s="4">
        <v>101.414657233</v>
      </c>
      <c r="E408" s="3">
        <v>7.7</v>
      </c>
      <c r="F408" s="3">
        <v>780.89</v>
      </c>
      <c r="G408" s="3">
        <v>13.29</v>
      </c>
      <c r="H408" s="3">
        <v>-566.83000000000004</v>
      </c>
      <c r="I408" s="3">
        <v>1347.73</v>
      </c>
    </row>
    <row r="409" spans="1:9" ht="15" customHeight="1" x14ac:dyDescent="0.25">
      <c r="A409" s="2" t="s">
        <v>72</v>
      </c>
      <c r="B409" s="2" t="s">
        <v>158</v>
      </c>
      <c r="C409" s="2" t="s">
        <v>159</v>
      </c>
      <c r="D409" s="4">
        <v>12</v>
      </c>
      <c r="E409" s="3">
        <v>15.94</v>
      </c>
      <c r="F409" s="3">
        <v>191.28</v>
      </c>
      <c r="G409" s="3">
        <v>19.96</v>
      </c>
      <c r="H409" s="3">
        <v>-48.3</v>
      </c>
      <c r="I409" s="3">
        <v>239.58</v>
      </c>
    </row>
    <row r="410" spans="1:9" ht="15" customHeight="1" x14ac:dyDescent="0.25">
      <c r="A410" s="2" t="s">
        <v>72</v>
      </c>
      <c r="B410" s="2" t="s">
        <v>166</v>
      </c>
      <c r="C410" s="2" t="s">
        <v>167</v>
      </c>
      <c r="D410" s="4">
        <v>9.8822916799999998</v>
      </c>
      <c r="E410" s="3">
        <v>50.97</v>
      </c>
      <c r="F410" s="3">
        <v>503.7</v>
      </c>
      <c r="G410" s="3">
        <v>50.83</v>
      </c>
      <c r="H410" s="3">
        <v>1.34</v>
      </c>
      <c r="I410" s="3">
        <v>502.36</v>
      </c>
    </row>
    <row r="411" spans="1:9" ht="15" customHeight="1" x14ac:dyDescent="0.25">
      <c r="A411" s="2" t="s">
        <v>72</v>
      </c>
      <c r="B411" s="2" t="s">
        <v>170</v>
      </c>
      <c r="C411" s="2" t="s">
        <v>171</v>
      </c>
      <c r="D411" s="4">
        <v>9.3249534690000004</v>
      </c>
      <c r="E411" s="3">
        <v>47.28</v>
      </c>
      <c r="F411" s="3">
        <v>440.88</v>
      </c>
      <c r="G411" s="3">
        <v>47.45</v>
      </c>
      <c r="H411" s="3">
        <v>-1.54</v>
      </c>
      <c r="I411" s="3">
        <v>442.42</v>
      </c>
    </row>
    <row r="412" spans="1:9" ht="15" customHeight="1" x14ac:dyDescent="0.25">
      <c r="A412" s="2" t="s">
        <v>72</v>
      </c>
      <c r="B412" s="2" t="s">
        <v>127</v>
      </c>
      <c r="C412" s="2" t="s">
        <v>128</v>
      </c>
      <c r="D412" s="4">
        <v>118.355842986</v>
      </c>
      <c r="E412" s="3">
        <v>25.46</v>
      </c>
      <c r="F412" s="3">
        <v>3013.34</v>
      </c>
      <c r="G412" s="3">
        <v>25.4</v>
      </c>
      <c r="H412" s="3">
        <v>7.59</v>
      </c>
      <c r="I412" s="3">
        <v>3005.75</v>
      </c>
    </row>
    <row r="413" spans="1:9" ht="15" customHeight="1" x14ac:dyDescent="0.25">
      <c r="A413" s="2" t="s">
        <v>72</v>
      </c>
      <c r="B413" s="2" t="s">
        <v>132</v>
      </c>
      <c r="C413" s="2" t="s">
        <v>133</v>
      </c>
      <c r="D413" s="4">
        <v>62</v>
      </c>
      <c r="E413" s="3">
        <v>12.33</v>
      </c>
      <c r="F413" s="3">
        <v>764.46</v>
      </c>
      <c r="G413" s="3">
        <v>15.53</v>
      </c>
      <c r="H413" s="3">
        <v>-198.46</v>
      </c>
      <c r="I413" s="3">
        <v>962.92</v>
      </c>
    </row>
    <row r="414" spans="1:9" ht="15" customHeight="1" x14ac:dyDescent="0.25">
      <c r="A414" s="2" t="s">
        <v>72</v>
      </c>
      <c r="B414" s="2" t="s">
        <v>134</v>
      </c>
      <c r="C414" s="2" t="s">
        <v>142</v>
      </c>
      <c r="D414" s="4">
        <v>76.036758907999996</v>
      </c>
      <c r="E414" s="3">
        <v>25.49</v>
      </c>
      <c r="F414" s="3">
        <v>1938.18</v>
      </c>
      <c r="G414" s="3">
        <v>25.63</v>
      </c>
      <c r="H414" s="3">
        <v>-10.3</v>
      </c>
      <c r="I414" s="3">
        <v>1948.47</v>
      </c>
    </row>
    <row r="415" spans="1:9" ht="15" customHeight="1" x14ac:dyDescent="0.25">
      <c r="A415" s="2" t="s">
        <v>72</v>
      </c>
      <c r="B415" s="2" t="s">
        <v>143</v>
      </c>
      <c r="C415" s="2" t="s">
        <v>144</v>
      </c>
      <c r="D415" s="4">
        <v>51.253885244000003</v>
      </c>
      <c r="E415" s="3">
        <v>50.75</v>
      </c>
      <c r="F415" s="3">
        <v>2601.13</v>
      </c>
      <c r="G415" s="3">
        <v>50.68</v>
      </c>
      <c r="H415" s="3">
        <v>3.34</v>
      </c>
      <c r="I415" s="3">
        <v>2597.8000000000002</v>
      </c>
    </row>
    <row r="416" spans="1:9" ht="15" customHeight="1" x14ac:dyDescent="0.25">
      <c r="A416" s="2" t="s">
        <v>72</v>
      </c>
      <c r="B416" s="2" t="s">
        <v>185</v>
      </c>
      <c r="C416" s="2" t="s">
        <v>186</v>
      </c>
      <c r="D416" s="4">
        <v>1.5070929310000001</v>
      </c>
      <c r="E416" s="3">
        <v>48.56</v>
      </c>
      <c r="F416" s="3">
        <v>73.180000000000007</v>
      </c>
      <c r="G416" s="3">
        <v>48.36</v>
      </c>
      <c r="H416" s="3">
        <v>0.3</v>
      </c>
      <c r="I416" s="3">
        <v>72.88</v>
      </c>
    </row>
    <row r="417" spans="1:9" ht="15" customHeight="1" x14ac:dyDescent="0.25">
      <c r="A417" s="2" t="s">
        <v>72</v>
      </c>
      <c r="B417" s="2" t="s">
        <v>160</v>
      </c>
      <c r="C417" s="2" t="s">
        <v>161</v>
      </c>
      <c r="D417" s="4">
        <v>25</v>
      </c>
      <c r="E417" s="3">
        <v>23.84</v>
      </c>
      <c r="F417" s="3">
        <v>595.89</v>
      </c>
      <c r="G417" s="3">
        <v>24.62</v>
      </c>
      <c r="H417" s="3">
        <v>-19.57</v>
      </c>
      <c r="I417" s="3">
        <v>615.46</v>
      </c>
    </row>
    <row r="418" spans="1:9" ht="15" customHeight="1" x14ac:dyDescent="0.25">
      <c r="A418" s="2" t="s">
        <v>72</v>
      </c>
      <c r="B418" s="2" t="s">
        <v>121</v>
      </c>
      <c r="C418" s="2" t="s">
        <v>172</v>
      </c>
      <c r="D418" s="4">
        <v>35.125493708999997</v>
      </c>
      <c r="E418" s="3">
        <v>30.96</v>
      </c>
      <c r="F418" s="3">
        <v>1087.49</v>
      </c>
      <c r="G418" s="3">
        <v>39.700000000000003</v>
      </c>
      <c r="H418" s="3">
        <v>-307.02999999999997</v>
      </c>
      <c r="I418" s="3">
        <v>1394.52</v>
      </c>
    </row>
    <row r="419" spans="1:9" ht="15" customHeight="1" x14ac:dyDescent="0.25">
      <c r="A419" s="2" t="s">
        <v>72</v>
      </c>
      <c r="B419" s="2" t="s">
        <v>173</v>
      </c>
      <c r="C419" s="2" t="s">
        <v>174</v>
      </c>
      <c r="D419" s="4">
        <v>3.147079266</v>
      </c>
      <c r="E419" s="3">
        <v>72.099999999999994</v>
      </c>
      <c r="F419" s="3">
        <v>226.9</v>
      </c>
      <c r="G419" s="3">
        <v>63.45</v>
      </c>
      <c r="H419" s="3">
        <v>27.23</v>
      </c>
      <c r="I419" s="3">
        <v>199.68</v>
      </c>
    </row>
    <row r="420" spans="1:9" ht="15" customHeight="1" x14ac:dyDescent="0.25">
      <c r="A420" s="2" t="s">
        <v>72</v>
      </c>
      <c r="B420" s="2" t="s">
        <v>179</v>
      </c>
      <c r="C420" s="2" t="s">
        <v>180</v>
      </c>
      <c r="D420" s="4">
        <v>29</v>
      </c>
      <c r="E420" s="3">
        <v>25.34</v>
      </c>
      <c r="F420" s="3">
        <v>734.87</v>
      </c>
      <c r="G420" s="3">
        <v>24.05</v>
      </c>
      <c r="H420" s="3">
        <v>37.549999999999997</v>
      </c>
      <c r="I420" s="3">
        <v>697.32</v>
      </c>
    </row>
    <row r="421" spans="1:9" ht="15" customHeight="1" x14ac:dyDescent="0.25">
      <c r="A421" s="2" t="s">
        <v>72</v>
      </c>
      <c r="B421" s="2" t="s">
        <v>152</v>
      </c>
      <c r="C421" s="2" t="s">
        <v>153</v>
      </c>
      <c r="D421" s="4">
        <v>35.452459736000002</v>
      </c>
      <c r="E421" s="3">
        <v>21.55</v>
      </c>
      <c r="F421" s="3">
        <v>764</v>
      </c>
      <c r="G421" s="3">
        <v>26.32</v>
      </c>
      <c r="H421" s="3">
        <v>-169.08</v>
      </c>
      <c r="I421" s="3">
        <v>933.08</v>
      </c>
    </row>
    <row r="422" spans="1:9" ht="15" customHeight="1" x14ac:dyDescent="0.25">
      <c r="A422" s="2" t="s">
        <v>72</v>
      </c>
      <c r="B422" s="2" t="s">
        <v>113</v>
      </c>
      <c r="C422" s="2" t="s">
        <v>114</v>
      </c>
      <c r="D422" s="4">
        <v>2.9389128389999999</v>
      </c>
      <c r="E422" s="3">
        <v>83.54</v>
      </c>
      <c r="F422" s="3">
        <v>245.52</v>
      </c>
      <c r="G422" s="3">
        <v>69.989999999999995</v>
      </c>
      <c r="H422" s="3">
        <v>39.840000000000003</v>
      </c>
      <c r="I422" s="3">
        <v>205.68</v>
      </c>
    </row>
    <row r="423" spans="1:9" ht="15" customHeight="1" x14ac:dyDescent="0.25">
      <c r="A423" s="2" t="s">
        <v>72</v>
      </c>
      <c r="B423" s="2" t="s">
        <v>145</v>
      </c>
      <c r="C423" s="2" t="s">
        <v>146</v>
      </c>
      <c r="D423" s="4">
        <v>38.830864024999997</v>
      </c>
      <c r="E423" s="3">
        <v>15.45</v>
      </c>
      <c r="F423" s="3">
        <v>599.94000000000005</v>
      </c>
      <c r="G423" s="3">
        <v>23.49</v>
      </c>
      <c r="H423" s="3">
        <v>-312.24</v>
      </c>
      <c r="I423" s="3">
        <v>912.18</v>
      </c>
    </row>
    <row r="424" spans="1:9" ht="15" customHeight="1" x14ac:dyDescent="0.25">
      <c r="A424" s="2" t="s">
        <v>72</v>
      </c>
      <c r="B424" s="2" t="s">
        <v>147</v>
      </c>
      <c r="C424" s="2" t="s">
        <v>148</v>
      </c>
      <c r="D424" s="4">
        <v>1.3229356649999999</v>
      </c>
      <c r="E424" s="3">
        <v>71.5</v>
      </c>
      <c r="F424" s="3">
        <v>94.59</v>
      </c>
      <c r="G424" s="3">
        <v>128.30000000000001</v>
      </c>
      <c r="H424" s="3">
        <v>-75.14</v>
      </c>
      <c r="I424" s="3">
        <v>169.73</v>
      </c>
    </row>
    <row r="425" spans="1:9" ht="15" customHeight="1" x14ac:dyDescent="0.25">
      <c r="A425" s="2" t="s">
        <v>72</v>
      </c>
      <c r="B425" s="2" t="s">
        <v>154</v>
      </c>
      <c r="C425" s="2" t="s">
        <v>155</v>
      </c>
      <c r="D425" s="4">
        <v>2.7437819060000002</v>
      </c>
      <c r="E425" s="3">
        <v>56.62</v>
      </c>
      <c r="F425" s="3">
        <v>155.35</v>
      </c>
      <c r="G425" s="3">
        <v>61.86</v>
      </c>
      <c r="H425" s="3">
        <v>-14.38</v>
      </c>
      <c r="I425" s="3">
        <v>169.73</v>
      </c>
    </row>
    <row r="426" spans="1:9" ht="15" customHeight="1" x14ac:dyDescent="0.25">
      <c r="A426" s="2" t="s">
        <v>72</v>
      </c>
      <c r="B426" s="2" t="s">
        <v>149</v>
      </c>
      <c r="C426" s="2" t="s">
        <v>150</v>
      </c>
      <c r="D426" s="4">
        <v>3.7018872780000001</v>
      </c>
      <c r="E426" s="3">
        <v>48.51</v>
      </c>
      <c r="F426" s="3">
        <v>179.59</v>
      </c>
      <c r="G426" s="3">
        <v>45.85</v>
      </c>
      <c r="H426" s="3">
        <v>9.86</v>
      </c>
      <c r="I426" s="3">
        <v>169.73</v>
      </c>
    </row>
    <row r="427" spans="1:9" ht="15" customHeight="1" x14ac:dyDescent="0.25">
      <c r="A427" s="2" t="s">
        <v>72</v>
      </c>
      <c r="B427" s="2" t="s">
        <v>129</v>
      </c>
      <c r="C427" s="2" t="s">
        <v>130</v>
      </c>
      <c r="D427" s="4">
        <v>47</v>
      </c>
      <c r="E427" s="3">
        <v>49.93</v>
      </c>
      <c r="F427" s="3">
        <v>2346.71</v>
      </c>
      <c r="G427" s="3">
        <v>50.26</v>
      </c>
      <c r="H427" s="3">
        <v>-15.59</v>
      </c>
      <c r="I427" s="3">
        <v>2362.3000000000002</v>
      </c>
    </row>
    <row r="428" spans="1:9" ht="15" customHeight="1" x14ac:dyDescent="0.25">
      <c r="A428" s="2" t="s">
        <v>72</v>
      </c>
      <c r="B428" s="2" t="s">
        <v>175</v>
      </c>
      <c r="C428" s="2" t="s">
        <v>176</v>
      </c>
      <c r="D428" s="4">
        <v>3.5858065880000001</v>
      </c>
      <c r="E428" s="3">
        <v>131.78</v>
      </c>
      <c r="F428" s="3">
        <v>472.54</v>
      </c>
      <c r="G428" s="3">
        <v>67.94</v>
      </c>
      <c r="H428" s="3">
        <v>228.93</v>
      </c>
      <c r="I428" s="3">
        <v>243.61</v>
      </c>
    </row>
    <row r="429" spans="1:9" ht="15" customHeight="1" x14ac:dyDescent="0.25">
      <c r="A429" s="2" t="s">
        <v>72</v>
      </c>
      <c r="B429" s="2" t="s">
        <v>194</v>
      </c>
      <c r="C429" s="2" t="s">
        <v>195</v>
      </c>
      <c r="D429" s="4">
        <v>8</v>
      </c>
      <c r="E429" s="3">
        <v>65.28</v>
      </c>
      <c r="F429" s="3">
        <v>522.24</v>
      </c>
      <c r="G429" s="3">
        <v>71.27</v>
      </c>
      <c r="H429" s="3">
        <v>-47.93</v>
      </c>
      <c r="I429" s="3">
        <v>570.16999999999996</v>
      </c>
    </row>
    <row r="430" spans="1:9" ht="15" customHeight="1" x14ac:dyDescent="0.25">
      <c r="A430" s="2" t="s">
        <v>72</v>
      </c>
      <c r="B430" s="2" t="s">
        <v>117</v>
      </c>
      <c r="C430" s="2" t="s">
        <v>118</v>
      </c>
      <c r="D430" s="4">
        <v>37.601732540999997</v>
      </c>
      <c r="E430" s="3">
        <v>16.37</v>
      </c>
      <c r="F430" s="3">
        <v>615.54</v>
      </c>
      <c r="G430" s="3">
        <v>18.11</v>
      </c>
      <c r="H430" s="3">
        <v>-65.56</v>
      </c>
      <c r="I430" s="3">
        <v>681.1</v>
      </c>
    </row>
    <row r="431" spans="1:9" ht="15" customHeight="1" x14ac:dyDescent="0.25">
      <c r="A431" s="2" t="s">
        <v>72</v>
      </c>
      <c r="B431" s="2" t="s">
        <v>187</v>
      </c>
      <c r="C431" s="2" t="s">
        <v>188</v>
      </c>
      <c r="D431" s="4">
        <v>14</v>
      </c>
      <c r="E431" s="3">
        <v>36.72</v>
      </c>
      <c r="F431" s="3">
        <v>514.08000000000004</v>
      </c>
      <c r="G431" s="3">
        <v>37.29</v>
      </c>
      <c r="H431" s="3">
        <v>-8</v>
      </c>
      <c r="I431" s="3">
        <v>522.08000000000004</v>
      </c>
    </row>
    <row r="432" spans="1:9" ht="15" customHeight="1" x14ac:dyDescent="0.25">
      <c r="A432" s="2" t="s">
        <v>72</v>
      </c>
      <c r="B432" s="2" t="s">
        <v>123</v>
      </c>
      <c r="C432" s="2" t="s">
        <v>124</v>
      </c>
      <c r="D432" s="4">
        <v>19.670330243999999</v>
      </c>
      <c r="E432" s="3">
        <v>14.51</v>
      </c>
      <c r="F432" s="3">
        <v>285.42</v>
      </c>
      <c r="G432" s="3">
        <v>16.39</v>
      </c>
      <c r="H432" s="3">
        <v>-37.06</v>
      </c>
      <c r="I432" s="3">
        <v>322.47000000000003</v>
      </c>
    </row>
    <row r="433" spans="1:9" ht="15" customHeight="1" x14ac:dyDescent="0.25">
      <c r="A433" s="2" t="s">
        <v>72</v>
      </c>
      <c r="B433" s="2" t="s">
        <v>196</v>
      </c>
      <c r="C433" s="2" t="s">
        <v>197</v>
      </c>
      <c r="D433" s="4">
        <v>2.330793152</v>
      </c>
      <c r="E433" s="3">
        <v>21.53</v>
      </c>
      <c r="F433" s="3">
        <v>50.18</v>
      </c>
      <c r="G433" s="3">
        <v>21.42</v>
      </c>
      <c r="H433" s="3">
        <v>0.27</v>
      </c>
      <c r="I433" s="3">
        <v>49.92</v>
      </c>
    </row>
    <row r="434" spans="1:9" ht="15" customHeight="1" x14ac:dyDescent="0.25">
      <c r="A434" s="2" t="s">
        <v>72</v>
      </c>
      <c r="B434" s="2" t="s">
        <v>119</v>
      </c>
      <c r="C434" s="2" t="s">
        <v>120</v>
      </c>
      <c r="D434" s="4">
        <v>44.771907380000002</v>
      </c>
      <c r="E434" s="3">
        <v>100.71</v>
      </c>
      <c r="F434" s="3">
        <v>4508.9799999999996</v>
      </c>
      <c r="G434" s="3">
        <v>100.31</v>
      </c>
      <c r="H434" s="3">
        <v>17.96</v>
      </c>
      <c r="I434" s="3">
        <v>4491.0200000000004</v>
      </c>
    </row>
    <row r="435" spans="1:9" ht="15" customHeight="1" x14ac:dyDescent="0.25">
      <c r="A435" s="2" t="s">
        <v>72</v>
      </c>
      <c r="B435" s="2" t="s">
        <v>115</v>
      </c>
      <c r="C435" s="2" t="s">
        <v>116</v>
      </c>
      <c r="D435" s="4">
        <v>57.811513335999997</v>
      </c>
      <c r="E435" s="3">
        <v>110.44</v>
      </c>
      <c r="F435" s="3">
        <v>6384.7</v>
      </c>
      <c r="G435" s="3">
        <v>110.07</v>
      </c>
      <c r="H435" s="3">
        <v>21.23</v>
      </c>
      <c r="I435" s="3">
        <v>6363.47</v>
      </c>
    </row>
    <row r="436" spans="1:9" ht="15" customHeight="1" x14ac:dyDescent="0.25">
      <c r="A436" s="2" t="s">
        <v>72</v>
      </c>
      <c r="B436" s="2" t="s">
        <v>181</v>
      </c>
      <c r="C436" s="2" t="s">
        <v>182</v>
      </c>
      <c r="D436" s="4">
        <v>9.5861616040000008</v>
      </c>
      <c r="E436" s="3">
        <v>21.68</v>
      </c>
      <c r="F436" s="3">
        <v>207.83</v>
      </c>
      <c r="G436" s="3">
        <v>26.04</v>
      </c>
      <c r="H436" s="3">
        <v>-41.77</v>
      </c>
      <c r="I436" s="3">
        <v>249.6</v>
      </c>
    </row>
    <row r="437" spans="1:9" ht="15" customHeight="1" x14ac:dyDescent="0.25">
      <c r="A437" s="2" t="s">
        <v>72</v>
      </c>
      <c r="B437" s="2" t="s">
        <v>162</v>
      </c>
      <c r="C437" s="2" t="s">
        <v>189</v>
      </c>
      <c r="D437" s="4">
        <v>37.732673263000002</v>
      </c>
      <c r="E437" s="3">
        <v>25.23</v>
      </c>
      <c r="F437" s="3">
        <v>952</v>
      </c>
      <c r="G437" s="3">
        <v>25.28</v>
      </c>
      <c r="H437" s="3">
        <v>-1.92</v>
      </c>
      <c r="I437" s="3">
        <v>953.92</v>
      </c>
    </row>
    <row r="438" spans="1:9" ht="15" customHeight="1" x14ac:dyDescent="0.25">
      <c r="A438" s="2" t="s">
        <v>72</v>
      </c>
      <c r="B438" s="2" t="s">
        <v>177</v>
      </c>
      <c r="C438" s="2" t="s">
        <v>178</v>
      </c>
      <c r="D438" s="4">
        <v>1.061371047</v>
      </c>
      <c r="E438" s="3">
        <v>193.32</v>
      </c>
      <c r="F438" s="3">
        <v>205.18</v>
      </c>
      <c r="G438" s="3">
        <v>209.15</v>
      </c>
      <c r="H438" s="3">
        <v>-16.809999999999999</v>
      </c>
      <c r="I438" s="3">
        <v>221.99</v>
      </c>
    </row>
    <row r="439" spans="1:9" ht="15" customHeight="1" x14ac:dyDescent="0.25">
      <c r="A439" s="2" t="s">
        <v>72</v>
      </c>
      <c r="B439" s="2" t="s">
        <v>190</v>
      </c>
      <c r="C439" s="2" t="s">
        <v>191</v>
      </c>
      <c r="D439" s="4">
        <v>14</v>
      </c>
      <c r="E439" s="3">
        <v>26.21</v>
      </c>
      <c r="F439" s="3">
        <v>366.94</v>
      </c>
      <c r="G439" s="3">
        <v>24.81</v>
      </c>
      <c r="H439" s="3">
        <v>19.64</v>
      </c>
      <c r="I439" s="3">
        <v>347.3</v>
      </c>
    </row>
    <row r="440" spans="1:9" ht="15" customHeight="1" x14ac:dyDescent="0.25">
      <c r="A440" s="2" t="s">
        <v>72</v>
      </c>
      <c r="B440" s="2" t="s">
        <v>109</v>
      </c>
      <c r="C440" s="2" t="s">
        <v>110</v>
      </c>
      <c r="D440" s="4">
        <v>4</v>
      </c>
      <c r="E440" s="3">
        <v>17.010000000000002</v>
      </c>
      <c r="F440" s="3">
        <v>68.040000000000006</v>
      </c>
      <c r="G440" s="3">
        <v>16.27</v>
      </c>
      <c r="H440" s="3">
        <v>2.97</v>
      </c>
      <c r="I440" s="3">
        <v>65.069999999999993</v>
      </c>
    </row>
    <row r="441" spans="1:9" ht="15" customHeight="1" x14ac:dyDescent="0.25">
      <c r="A441" s="2" t="s">
        <v>72</v>
      </c>
      <c r="B441" s="2" t="s">
        <v>136</v>
      </c>
      <c r="C441" s="2" t="s">
        <v>151</v>
      </c>
      <c r="D441" s="4">
        <v>51.238931506</v>
      </c>
      <c r="E441" s="3">
        <v>25.04</v>
      </c>
      <c r="F441" s="3">
        <v>1283.02</v>
      </c>
      <c r="G441" s="3">
        <v>25.08</v>
      </c>
      <c r="H441" s="3">
        <v>-2.04</v>
      </c>
      <c r="I441" s="3">
        <v>1285.06</v>
      </c>
    </row>
    <row r="442" spans="1:9" ht="15" customHeight="1" x14ac:dyDescent="0.25">
      <c r="A442" s="2" t="s">
        <v>72</v>
      </c>
      <c r="B442" s="2" t="s">
        <v>164</v>
      </c>
      <c r="C442" s="2" t="s">
        <v>165</v>
      </c>
      <c r="D442" s="4">
        <v>32.238393264000003</v>
      </c>
      <c r="E442" s="3">
        <v>13.48</v>
      </c>
      <c r="F442" s="3">
        <v>434.57</v>
      </c>
      <c r="G442" s="3">
        <v>17.2</v>
      </c>
      <c r="H442" s="3">
        <v>-120.05</v>
      </c>
      <c r="I442" s="3">
        <v>554.62</v>
      </c>
    </row>
    <row r="443" spans="1:9" ht="15" customHeight="1" x14ac:dyDescent="0.25">
      <c r="A443" s="2" t="s">
        <v>74</v>
      </c>
      <c r="B443" s="2" t="s">
        <v>104</v>
      </c>
      <c r="C443" s="2" t="s">
        <v>105</v>
      </c>
      <c r="D443" s="4" t="s">
        <v>106</v>
      </c>
      <c r="E443" s="3"/>
      <c r="F443" s="3">
        <v>37.42</v>
      </c>
      <c r="G443" s="3"/>
      <c r="H443" s="3"/>
      <c r="I443" s="3"/>
    </row>
    <row r="444" spans="1:9" ht="15" customHeight="1" x14ac:dyDescent="0.25">
      <c r="A444" s="2" t="s">
        <v>74</v>
      </c>
      <c r="B444" s="2" t="s">
        <v>198</v>
      </c>
      <c r="C444" s="2" t="s">
        <v>199</v>
      </c>
      <c r="D444" s="4">
        <v>0.529425492</v>
      </c>
      <c r="E444" s="3">
        <v>96.04</v>
      </c>
      <c r="F444" s="3">
        <v>50.85</v>
      </c>
      <c r="G444" s="3">
        <v>94.27</v>
      </c>
      <c r="H444" s="3">
        <v>0.94</v>
      </c>
      <c r="I444" s="3">
        <v>49.91</v>
      </c>
    </row>
    <row r="445" spans="1:9" ht="15" customHeight="1" x14ac:dyDescent="0.25">
      <c r="A445" s="2" t="s">
        <v>74</v>
      </c>
      <c r="B445" s="2" t="s">
        <v>192</v>
      </c>
      <c r="C445" s="2" t="s">
        <v>193</v>
      </c>
      <c r="D445" s="4">
        <v>2.7978783599999999</v>
      </c>
      <c r="E445" s="3">
        <v>43.69</v>
      </c>
      <c r="F445" s="3">
        <v>122.24</v>
      </c>
      <c r="G445" s="3">
        <v>41.71</v>
      </c>
      <c r="H445" s="3">
        <v>5.54</v>
      </c>
      <c r="I445" s="3">
        <v>116.7</v>
      </c>
    </row>
    <row r="446" spans="1:9" ht="15" customHeight="1" x14ac:dyDescent="0.25">
      <c r="A446" s="2" t="s">
        <v>74</v>
      </c>
      <c r="B446" s="2" t="s">
        <v>111</v>
      </c>
      <c r="C446" s="2" t="s">
        <v>131</v>
      </c>
      <c r="D446" s="4">
        <v>1.4759498200000001</v>
      </c>
      <c r="E446" s="3">
        <v>161.74</v>
      </c>
      <c r="F446" s="3">
        <v>238.72</v>
      </c>
      <c r="G446" s="3">
        <v>117.96</v>
      </c>
      <c r="H446" s="3">
        <v>64.61</v>
      </c>
      <c r="I446" s="3">
        <v>174.11</v>
      </c>
    </row>
    <row r="447" spans="1:9" ht="15" customHeight="1" x14ac:dyDescent="0.25">
      <c r="A447" s="2" t="s">
        <v>74</v>
      </c>
      <c r="B447" s="2" t="s">
        <v>200</v>
      </c>
      <c r="C447" s="2" t="s">
        <v>201</v>
      </c>
      <c r="D447" s="4">
        <v>27.767688514</v>
      </c>
      <c r="E447" s="3">
        <v>1.79</v>
      </c>
      <c r="F447" s="3">
        <v>49.7</v>
      </c>
      <c r="G447" s="3">
        <v>2.15</v>
      </c>
      <c r="H447" s="3">
        <v>-9.99</v>
      </c>
      <c r="I447" s="3">
        <v>59.69</v>
      </c>
    </row>
    <row r="448" spans="1:9" ht="15" customHeight="1" x14ac:dyDescent="0.25">
      <c r="A448" s="2" t="s">
        <v>74</v>
      </c>
      <c r="B448" s="2" t="s">
        <v>202</v>
      </c>
      <c r="C448" s="2" t="s">
        <v>203</v>
      </c>
      <c r="D448" s="4">
        <v>1.8486045929999999</v>
      </c>
      <c r="E448" s="3">
        <v>15.91</v>
      </c>
      <c r="F448" s="3">
        <v>29.41</v>
      </c>
      <c r="G448" s="3">
        <v>16.2</v>
      </c>
      <c r="H448" s="3">
        <v>-0.53</v>
      </c>
      <c r="I448" s="3">
        <v>29.94</v>
      </c>
    </row>
    <row r="449" spans="1:9" ht="15" customHeight="1" x14ac:dyDescent="0.25">
      <c r="A449" s="2" t="s">
        <v>74</v>
      </c>
      <c r="B449" s="2" t="s">
        <v>138</v>
      </c>
      <c r="C449" s="2" t="s">
        <v>139</v>
      </c>
      <c r="D449" s="4">
        <v>5.5731406989999996</v>
      </c>
      <c r="E449" s="3">
        <v>20.47</v>
      </c>
      <c r="F449" s="3">
        <v>114.08</v>
      </c>
      <c r="G449" s="3">
        <v>30.46</v>
      </c>
      <c r="H449" s="3">
        <v>-55.65</v>
      </c>
      <c r="I449" s="3">
        <v>169.73</v>
      </c>
    </row>
    <row r="450" spans="1:9" ht="15" customHeight="1" x14ac:dyDescent="0.25">
      <c r="A450" s="2" t="s">
        <v>74</v>
      </c>
      <c r="B450" s="2" t="s">
        <v>183</v>
      </c>
      <c r="C450" s="2" t="s">
        <v>184</v>
      </c>
      <c r="D450" s="4">
        <v>11.919515938</v>
      </c>
      <c r="E450" s="3">
        <v>26.74</v>
      </c>
      <c r="F450" s="3">
        <v>318.73</v>
      </c>
      <c r="G450" s="3">
        <v>26.72</v>
      </c>
      <c r="H450" s="3">
        <v>0.26</v>
      </c>
      <c r="I450" s="3">
        <v>318.47000000000003</v>
      </c>
    </row>
    <row r="451" spans="1:9" ht="15" customHeight="1" x14ac:dyDescent="0.25">
      <c r="A451" s="2" t="s">
        <v>74</v>
      </c>
      <c r="B451" s="2" t="s">
        <v>140</v>
      </c>
      <c r="C451" s="2" t="s">
        <v>141</v>
      </c>
      <c r="D451" s="4">
        <v>104.17831394</v>
      </c>
      <c r="E451" s="3">
        <v>9.1300000000000008</v>
      </c>
      <c r="F451" s="3">
        <v>951.15</v>
      </c>
      <c r="G451" s="3">
        <v>13.18</v>
      </c>
      <c r="H451" s="3">
        <v>-421.53</v>
      </c>
      <c r="I451" s="3">
        <v>1372.67</v>
      </c>
    </row>
    <row r="452" spans="1:9" ht="15" customHeight="1" x14ac:dyDescent="0.25">
      <c r="A452" s="2" t="s">
        <v>74</v>
      </c>
      <c r="B452" s="2" t="s">
        <v>158</v>
      </c>
      <c r="C452" s="2" t="s">
        <v>159</v>
      </c>
      <c r="D452" s="4">
        <v>13.840422916</v>
      </c>
      <c r="E452" s="3">
        <v>16.98</v>
      </c>
      <c r="F452" s="3">
        <v>235.01</v>
      </c>
      <c r="G452" s="3">
        <v>19.47</v>
      </c>
      <c r="H452" s="3">
        <v>-34.51</v>
      </c>
      <c r="I452" s="3">
        <v>269.52</v>
      </c>
    </row>
    <row r="453" spans="1:9" ht="15" customHeight="1" x14ac:dyDescent="0.25">
      <c r="A453" s="2" t="s">
        <v>74</v>
      </c>
      <c r="B453" s="2" t="s">
        <v>204</v>
      </c>
      <c r="C453" s="2" t="s">
        <v>205</v>
      </c>
      <c r="D453" s="4">
        <v>25</v>
      </c>
      <c r="E453" s="3">
        <v>6.39</v>
      </c>
      <c r="F453" s="3">
        <v>159.75</v>
      </c>
      <c r="G453" s="3">
        <v>6.39</v>
      </c>
      <c r="H453" s="3">
        <v>0.05</v>
      </c>
      <c r="I453" s="3">
        <v>159.69999999999999</v>
      </c>
    </row>
    <row r="454" spans="1:9" ht="15" customHeight="1" x14ac:dyDescent="0.25">
      <c r="A454" s="2" t="s">
        <v>74</v>
      </c>
      <c r="B454" s="2" t="s">
        <v>166</v>
      </c>
      <c r="C454" s="2" t="s">
        <v>167</v>
      </c>
      <c r="D454" s="4">
        <v>10.768305307</v>
      </c>
      <c r="E454" s="3">
        <v>51.02</v>
      </c>
      <c r="F454" s="3">
        <v>549.4</v>
      </c>
      <c r="G454" s="3">
        <v>50.83</v>
      </c>
      <c r="H454" s="3">
        <v>2.0499999999999998</v>
      </c>
      <c r="I454" s="3">
        <v>547.35</v>
      </c>
    </row>
    <row r="455" spans="1:9" ht="15" customHeight="1" x14ac:dyDescent="0.25">
      <c r="A455" s="2" t="s">
        <v>74</v>
      </c>
      <c r="B455" s="2" t="s">
        <v>170</v>
      </c>
      <c r="C455" s="2" t="s">
        <v>171</v>
      </c>
      <c r="D455" s="4">
        <v>10.375071294</v>
      </c>
      <c r="E455" s="3">
        <v>47.6</v>
      </c>
      <c r="F455" s="3">
        <v>493.85</v>
      </c>
      <c r="G455" s="3">
        <v>47.45</v>
      </c>
      <c r="H455" s="3">
        <v>1.52</v>
      </c>
      <c r="I455" s="3">
        <v>492.33</v>
      </c>
    </row>
    <row r="456" spans="1:9" ht="15" customHeight="1" x14ac:dyDescent="0.25">
      <c r="A456" s="2" t="s">
        <v>74</v>
      </c>
      <c r="B456" s="2" t="s">
        <v>127</v>
      </c>
      <c r="C456" s="2" t="s">
        <v>128</v>
      </c>
      <c r="D456" s="4">
        <v>120.125880025</v>
      </c>
      <c r="E456" s="3">
        <v>25.5</v>
      </c>
      <c r="F456" s="3">
        <v>3063.21</v>
      </c>
      <c r="G456" s="3">
        <v>25.4</v>
      </c>
      <c r="H456" s="3">
        <v>12.54</v>
      </c>
      <c r="I456" s="3">
        <v>3050.67</v>
      </c>
    </row>
    <row r="457" spans="1:9" ht="15" customHeight="1" x14ac:dyDescent="0.25">
      <c r="A457" s="2" t="s">
        <v>74</v>
      </c>
      <c r="B457" s="2" t="s">
        <v>132</v>
      </c>
      <c r="C457" s="2" t="s">
        <v>133</v>
      </c>
      <c r="D457" s="4">
        <v>64</v>
      </c>
      <c r="E457" s="3">
        <v>12.17</v>
      </c>
      <c r="F457" s="3">
        <v>778.88</v>
      </c>
      <c r="G457" s="3">
        <v>15.41</v>
      </c>
      <c r="H457" s="3">
        <v>-207.31</v>
      </c>
      <c r="I457" s="3">
        <v>986.19</v>
      </c>
    </row>
    <row r="458" spans="1:9" ht="15" customHeight="1" x14ac:dyDescent="0.25">
      <c r="A458" s="2" t="s">
        <v>74</v>
      </c>
      <c r="B458" s="2" t="s">
        <v>134</v>
      </c>
      <c r="C458" s="2" t="s">
        <v>142</v>
      </c>
      <c r="D458" s="4">
        <v>77.210508318999999</v>
      </c>
      <c r="E458" s="3">
        <v>25.56</v>
      </c>
      <c r="F458" s="3">
        <v>1973.5</v>
      </c>
      <c r="G458" s="3">
        <v>25.62</v>
      </c>
      <c r="H458" s="3">
        <v>-4.91</v>
      </c>
      <c r="I458" s="3">
        <v>1978.41</v>
      </c>
    </row>
    <row r="459" spans="1:9" ht="15" customHeight="1" x14ac:dyDescent="0.25">
      <c r="A459" s="2" t="s">
        <v>74</v>
      </c>
      <c r="B459" s="2" t="s">
        <v>143</v>
      </c>
      <c r="C459" s="2" t="s">
        <v>144</v>
      </c>
      <c r="D459" s="4">
        <v>52.142545527000003</v>
      </c>
      <c r="E459" s="3">
        <v>50.75</v>
      </c>
      <c r="F459" s="3">
        <v>2646.23</v>
      </c>
      <c r="G459" s="3">
        <v>50.68</v>
      </c>
      <c r="H459" s="3">
        <v>3.52</v>
      </c>
      <c r="I459" s="3">
        <v>2642.72</v>
      </c>
    </row>
    <row r="460" spans="1:9" ht="15" customHeight="1" x14ac:dyDescent="0.25">
      <c r="A460" s="2" t="s">
        <v>74</v>
      </c>
      <c r="B460" s="2" t="s">
        <v>185</v>
      </c>
      <c r="C460" s="2" t="s">
        <v>186</v>
      </c>
      <c r="D460" s="4">
        <v>2.0661519689999999</v>
      </c>
      <c r="E460" s="3">
        <v>48.21</v>
      </c>
      <c r="F460" s="3">
        <v>99.61</v>
      </c>
      <c r="G460" s="3">
        <v>48.32</v>
      </c>
      <c r="H460" s="3">
        <v>-0.22</v>
      </c>
      <c r="I460" s="3">
        <v>99.83</v>
      </c>
    </row>
    <row r="461" spans="1:9" ht="15" customHeight="1" x14ac:dyDescent="0.25">
      <c r="A461" s="2" t="s">
        <v>74</v>
      </c>
      <c r="B461" s="2" t="s">
        <v>121</v>
      </c>
      <c r="C461" s="2" t="s">
        <v>172</v>
      </c>
      <c r="D461" s="4">
        <v>36.469684125000001</v>
      </c>
      <c r="E461" s="3">
        <v>31.73</v>
      </c>
      <c r="F461" s="3">
        <v>1157.18</v>
      </c>
      <c r="G461" s="3">
        <v>39.409999999999997</v>
      </c>
      <c r="H461" s="3">
        <v>-280.26</v>
      </c>
      <c r="I461" s="3">
        <v>1437.44</v>
      </c>
    </row>
    <row r="462" spans="1:9" ht="15" customHeight="1" x14ac:dyDescent="0.25">
      <c r="A462" s="2" t="s">
        <v>74</v>
      </c>
      <c r="B462" s="2" t="s">
        <v>173</v>
      </c>
      <c r="C462" s="2" t="s">
        <v>174</v>
      </c>
      <c r="D462" s="4">
        <v>3.147079266</v>
      </c>
      <c r="E462" s="3">
        <v>70.75</v>
      </c>
      <c r="F462" s="3">
        <v>222.66</v>
      </c>
      <c r="G462" s="3">
        <v>63.45</v>
      </c>
      <c r="H462" s="3">
        <v>22.98</v>
      </c>
      <c r="I462" s="3">
        <v>199.68</v>
      </c>
    </row>
    <row r="463" spans="1:9" ht="15" customHeight="1" x14ac:dyDescent="0.25">
      <c r="A463" s="2" t="s">
        <v>74</v>
      </c>
      <c r="B463" s="2" t="s">
        <v>206</v>
      </c>
      <c r="C463" s="2" t="s">
        <v>207</v>
      </c>
      <c r="D463" s="4">
        <v>1.2524052530000001</v>
      </c>
      <c r="E463" s="3">
        <v>24.12</v>
      </c>
      <c r="F463" s="3">
        <v>30.21</v>
      </c>
      <c r="G463" s="3">
        <v>23.91</v>
      </c>
      <c r="H463" s="3">
        <v>0.27</v>
      </c>
      <c r="I463" s="3">
        <v>29.94</v>
      </c>
    </row>
    <row r="464" spans="1:9" ht="15" customHeight="1" x14ac:dyDescent="0.25">
      <c r="A464" s="2" t="s">
        <v>74</v>
      </c>
      <c r="B464" s="2" t="s">
        <v>179</v>
      </c>
      <c r="C464" s="2" t="s">
        <v>180</v>
      </c>
      <c r="D464" s="4">
        <v>30</v>
      </c>
      <c r="E464" s="3">
        <v>26.7</v>
      </c>
      <c r="F464" s="3">
        <v>800.87</v>
      </c>
      <c r="G464" s="3">
        <v>24.11</v>
      </c>
      <c r="H464" s="3">
        <v>77.680000000000007</v>
      </c>
      <c r="I464" s="3">
        <v>723.19</v>
      </c>
    </row>
    <row r="465" spans="1:9" ht="15" customHeight="1" x14ac:dyDescent="0.25">
      <c r="A465" s="2" t="s">
        <v>74</v>
      </c>
      <c r="B465" s="2" t="s">
        <v>152</v>
      </c>
      <c r="C465" s="2" t="s">
        <v>153</v>
      </c>
      <c r="D465" s="4">
        <v>36.683728010000003</v>
      </c>
      <c r="E465" s="3">
        <v>22.17</v>
      </c>
      <c r="F465" s="3">
        <v>813.28</v>
      </c>
      <c r="G465" s="3">
        <v>26.17</v>
      </c>
      <c r="H465" s="3">
        <v>-146.75</v>
      </c>
      <c r="I465" s="3">
        <v>960.03</v>
      </c>
    </row>
    <row r="466" spans="1:9" ht="15" customHeight="1" x14ac:dyDescent="0.25">
      <c r="A466" s="2" t="s">
        <v>74</v>
      </c>
      <c r="B466" s="2" t="s">
        <v>113</v>
      </c>
      <c r="C466" s="2" t="s">
        <v>114</v>
      </c>
      <c r="D466" s="4">
        <v>2.9389128389999999</v>
      </c>
      <c r="E466" s="3">
        <v>89.42</v>
      </c>
      <c r="F466" s="3">
        <v>262.8</v>
      </c>
      <c r="G466" s="3">
        <v>69.989999999999995</v>
      </c>
      <c r="H466" s="3">
        <v>57.12</v>
      </c>
      <c r="I466" s="3">
        <v>205.68</v>
      </c>
    </row>
    <row r="467" spans="1:9" ht="15" customHeight="1" x14ac:dyDescent="0.25">
      <c r="A467" s="2" t="s">
        <v>74</v>
      </c>
      <c r="B467" s="2" t="s">
        <v>208</v>
      </c>
      <c r="C467" s="2" t="s">
        <v>209</v>
      </c>
      <c r="D467" s="4">
        <v>8.7721444700000006</v>
      </c>
      <c r="E467" s="3">
        <v>3.32</v>
      </c>
      <c r="F467" s="3">
        <v>29.12</v>
      </c>
      <c r="G467" s="3">
        <v>3.41</v>
      </c>
      <c r="H467" s="3">
        <v>-0.77</v>
      </c>
      <c r="I467" s="3">
        <v>29.9</v>
      </c>
    </row>
    <row r="468" spans="1:9" ht="15" customHeight="1" x14ac:dyDescent="0.25">
      <c r="A468" s="2" t="s">
        <v>74</v>
      </c>
      <c r="B468" s="2" t="s">
        <v>210</v>
      </c>
      <c r="C468" s="2" t="s">
        <v>211</v>
      </c>
      <c r="D468" s="4">
        <v>0.17849052100000001</v>
      </c>
      <c r="E468" s="3">
        <v>160.58000000000001</v>
      </c>
      <c r="F468" s="3">
        <v>28.66</v>
      </c>
      <c r="G468" s="3">
        <v>167.74</v>
      </c>
      <c r="H468" s="3">
        <v>-1.28</v>
      </c>
      <c r="I468" s="3">
        <v>29.94</v>
      </c>
    </row>
    <row r="469" spans="1:9" ht="15" customHeight="1" x14ac:dyDescent="0.25">
      <c r="A469" s="2" t="s">
        <v>74</v>
      </c>
      <c r="B469" s="2" t="s">
        <v>145</v>
      </c>
      <c r="C469" s="2" t="s">
        <v>146</v>
      </c>
      <c r="D469" s="4">
        <v>40.402220618999998</v>
      </c>
      <c r="E469" s="3">
        <v>16.77</v>
      </c>
      <c r="F469" s="3">
        <v>677.55</v>
      </c>
      <c r="G469" s="3">
        <v>23.2</v>
      </c>
      <c r="H469" s="3">
        <v>-259.58999999999997</v>
      </c>
      <c r="I469" s="3">
        <v>937.13</v>
      </c>
    </row>
    <row r="470" spans="1:9" ht="15" customHeight="1" x14ac:dyDescent="0.25">
      <c r="A470" s="2" t="s">
        <v>74</v>
      </c>
      <c r="B470" s="2" t="s">
        <v>147</v>
      </c>
      <c r="C470" s="2" t="s">
        <v>148</v>
      </c>
      <c r="D470" s="4">
        <v>1.3229356649999999</v>
      </c>
      <c r="E470" s="3">
        <v>69.02</v>
      </c>
      <c r="F470" s="3">
        <v>91.31</v>
      </c>
      <c r="G470" s="3">
        <v>128.30000000000001</v>
      </c>
      <c r="H470" s="3">
        <v>-78.42</v>
      </c>
      <c r="I470" s="3">
        <v>169.73</v>
      </c>
    </row>
    <row r="471" spans="1:9" ht="15" customHeight="1" x14ac:dyDescent="0.25">
      <c r="A471" s="2" t="s">
        <v>74</v>
      </c>
      <c r="B471" s="2" t="s">
        <v>154</v>
      </c>
      <c r="C471" s="2" t="s">
        <v>155</v>
      </c>
      <c r="D471" s="4">
        <v>2.7437819060000002</v>
      </c>
      <c r="E471" s="3">
        <v>57.61</v>
      </c>
      <c r="F471" s="3">
        <v>158.07</v>
      </c>
      <c r="G471" s="3">
        <v>61.86</v>
      </c>
      <c r="H471" s="3">
        <v>-11.66</v>
      </c>
      <c r="I471" s="3">
        <v>169.73</v>
      </c>
    </row>
    <row r="472" spans="1:9" ht="15" customHeight="1" x14ac:dyDescent="0.25">
      <c r="A472" s="2" t="s">
        <v>74</v>
      </c>
      <c r="B472" s="2" t="s">
        <v>149</v>
      </c>
      <c r="C472" s="2" t="s">
        <v>150</v>
      </c>
      <c r="D472" s="4">
        <v>3.7018872780000001</v>
      </c>
      <c r="E472" s="3">
        <v>47.32</v>
      </c>
      <c r="F472" s="3">
        <v>175.17</v>
      </c>
      <c r="G472" s="3">
        <v>45.85</v>
      </c>
      <c r="H472" s="3">
        <v>5.45</v>
      </c>
      <c r="I472" s="3">
        <v>169.73</v>
      </c>
    </row>
    <row r="473" spans="1:9" ht="15" customHeight="1" x14ac:dyDescent="0.25">
      <c r="A473" s="2" t="s">
        <v>74</v>
      </c>
      <c r="B473" s="2" t="s">
        <v>129</v>
      </c>
      <c r="C473" s="2" t="s">
        <v>130</v>
      </c>
      <c r="D473" s="4">
        <v>48</v>
      </c>
      <c r="E473" s="3">
        <v>50.16</v>
      </c>
      <c r="F473" s="3">
        <v>2407.6799999999998</v>
      </c>
      <c r="G473" s="3">
        <v>50.25</v>
      </c>
      <c r="H473" s="3">
        <v>-4.29</v>
      </c>
      <c r="I473" s="3">
        <v>2411.9699999999998</v>
      </c>
    </row>
    <row r="474" spans="1:9" ht="15" customHeight="1" x14ac:dyDescent="0.25">
      <c r="A474" s="2" t="s">
        <v>74</v>
      </c>
      <c r="B474" s="2" t="s">
        <v>175</v>
      </c>
      <c r="C474" s="2" t="s">
        <v>176</v>
      </c>
      <c r="D474" s="4">
        <v>3.5858065880000001</v>
      </c>
      <c r="E474" s="3">
        <v>136.32</v>
      </c>
      <c r="F474" s="3">
        <v>488.82</v>
      </c>
      <c r="G474" s="3">
        <v>67.94</v>
      </c>
      <c r="H474" s="3">
        <v>245.21</v>
      </c>
      <c r="I474" s="3">
        <v>243.61</v>
      </c>
    </row>
    <row r="475" spans="1:9" ht="15" customHeight="1" x14ac:dyDescent="0.25">
      <c r="A475" s="2" t="s">
        <v>74</v>
      </c>
      <c r="B475" s="2" t="s">
        <v>194</v>
      </c>
      <c r="C475" s="2" t="s">
        <v>195</v>
      </c>
      <c r="D475" s="4">
        <v>9</v>
      </c>
      <c r="E475" s="3">
        <v>64.260000000000005</v>
      </c>
      <c r="F475" s="3">
        <v>578.34</v>
      </c>
      <c r="G475" s="3">
        <v>70.69</v>
      </c>
      <c r="H475" s="3">
        <v>-57.83</v>
      </c>
      <c r="I475" s="3">
        <v>636.16999999999996</v>
      </c>
    </row>
    <row r="476" spans="1:9" ht="15" customHeight="1" x14ac:dyDescent="0.25">
      <c r="A476" s="2" t="s">
        <v>74</v>
      </c>
      <c r="B476" s="2" t="s">
        <v>117</v>
      </c>
      <c r="C476" s="2" t="s">
        <v>118</v>
      </c>
      <c r="D476" s="4">
        <v>39.418700618999999</v>
      </c>
      <c r="E476" s="3">
        <v>16.72</v>
      </c>
      <c r="F476" s="3">
        <v>659.08</v>
      </c>
      <c r="G476" s="3">
        <v>18.04</v>
      </c>
      <c r="H476" s="3">
        <v>-51.96</v>
      </c>
      <c r="I476" s="3">
        <v>711.04</v>
      </c>
    </row>
    <row r="477" spans="1:9" ht="15" customHeight="1" x14ac:dyDescent="0.25">
      <c r="A477" s="2" t="s">
        <v>74</v>
      </c>
      <c r="B477" s="2" t="s">
        <v>187</v>
      </c>
      <c r="C477" s="2" t="s">
        <v>212</v>
      </c>
      <c r="D477" s="4">
        <v>16</v>
      </c>
      <c r="E477" s="3">
        <v>36.57</v>
      </c>
      <c r="F477" s="3">
        <v>585.12</v>
      </c>
      <c r="G477" s="3">
        <v>37.229999999999997</v>
      </c>
      <c r="H477" s="3">
        <v>-10.62</v>
      </c>
      <c r="I477" s="3">
        <v>595.74</v>
      </c>
    </row>
    <row r="478" spans="1:9" ht="15" customHeight="1" x14ac:dyDescent="0.25">
      <c r="A478" s="2" t="s">
        <v>74</v>
      </c>
      <c r="B478" s="2" t="s">
        <v>123</v>
      </c>
      <c r="C478" s="2" t="s">
        <v>124</v>
      </c>
      <c r="D478" s="4">
        <v>21.708804876999999</v>
      </c>
      <c r="E478" s="3">
        <v>14.91</v>
      </c>
      <c r="F478" s="3">
        <v>323.68</v>
      </c>
      <c r="G478" s="3">
        <v>16.23</v>
      </c>
      <c r="H478" s="3">
        <v>-28.73</v>
      </c>
      <c r="I478" s="3">
        <v>352.41</v>
      </c>
    </row>
    <row r="479" spans="1:9" ht="15" customHeight="1" x14ac:dyDescent="0.25">
      <c r="A479" s="2" t="s">
        <v>74</v>
      </c>
      <c r="B479" s="2" t="s">
        <v>213</v>
      </c>
      <c r="C479" s="2" t="s">
        <v>214</v>
      </c>
      <c r="D479" s="4">
        <v>7.326089659</v>
      </c>
      <c r="E479" s="3">
        <v>26.5</v>
      </c>
      <c r="F479" s="3">
        <v>194.14</v>
      </c>
      <c r="G479" s="3">
        <v>26.98</v>
      </c>
      <c r="H479" s="3">
        <v>-3.52</v>
      </c>
      <c r="I479" s="3">
        <v>197.66</v>
      </c>
    </row>
    <row r="480" spans="1:9" ht="15" customHeight="1" x14ac:dyDescent="0.25">
      <c r="A480" s="2" t="s">
        <v>74</v>
      </c>
      <c r="B480" s="2" t="s">
        <v>196</v>
      </c>
      <c r="C480" s="2" t="s">
        <v>197</v>
      </c>
      <c r="D480" s="4">
        <v>15.057398918000001</v>
      </c>
      <c r="E480" s="3">
        <v>22.55</v>
      </c>
      <c r="F480" s="3">
        <v>339.54</v>
      </c>
      <c r="G480" s="3">
        <v>22.17</v>
      </c>
      <c r="H480" s="3">
        <v>5.77</v>
      </c>
      <c r="I480" s="3">
        <v>333.77</v>
      </c>
    </row>
    <row r="481" spans="1:9" ht="15" customHeight="1" x14ac:dyDescent="0.25">
      <c r="A481" s="2" t="s">
        <v>74</v>
      </c>
      <c r="B481" s="2" t="s">
        <v>119</v>
      </c>
      <c r="C481" s="2" t="s">
        <v>120</v>
      </c>
      <c r="D481" s="4">
        <v>45.220113161999997</v>
      </c>
      <c r="E481" s="3">
        <v>100.69</v>
      </c>
      <c r="F481" s="3">
        <v>4553.21</v>
      </c>
      <c r="G481" s="3">
        <v>100.31</v>
      </c>
      <c r="H481" s="3">
        <v>17.2</v>
      </c>
      <c r="I481" s="3">
        <v>4536.01</v>
      </c>
    </row>
    <row r="482" spans="1:9" ht="15" customHeight="1" x14ac:dyDescent="0.25">
      <c r="A482" s="2" t="s">
        <v>74</v>
      </c>
      <c r="B482" s="2" t="s">
        <v>115</v>
      </c>
      <c r="C482" s="2" t="s">
        <v>116</v>
      </c>
      <c r="D482" s="4">
        <v>58.083981264000002</v>
      </c>
      <c r="E482" s="3">
        <v>110.42</v>
      </c>
      <c r="F482" s="3">
        <v>6413.63</v>
      </c>
      <c r="G482" s="3">
        <v>110.07</v>
      </c>
      <c r="H482" s="3">
        <v>20.170000000000002</v>
      </c>
      <c r="I482" s="3">
        <v>6393.46</v>
      </c>
    </row>
    <row r="483" spans="1:9" ht="15" customHeight="1" x14ac:dyDescent="0.25">
      <c r="A483" s="2" t="s">
        <v>74</v>
      </c>
      <c r="B483" s="2" t="s">
        <v>181</v>
      </c>
      <c r="C483" s="2" t="s">
        <v>182</v>
      </c>
      <c r="D483" s="4">
        <v>9.5861616040000008</v>
      </c>
      <c r="E483" s="3">
        <v>22.97</v>
      </c>
      <c r="F483" s="3">
        <v>220.19</v>
      </c>
      <c r="G483" s="3">
        <v>26.04</v>
      </c>
      <c r="H483" s="3">
        <v>-29.41</v>
      </c>
      <c r="I483" s="3">
        <v>249.6</v>
      </c>
    </row>
    <row r="484" spans="1:9" ht="15" customHeight="1" x14ac:dyDescent="0.25">
      <c r="A484" s="2" t="s">
        <v>74</v>
      </c>
      <c r="B484" s="2" t="s">
        <v>162</v>
      </c>
      <c r="C484" s="2" t="s">
        <v>189</v>
      </c>
      <c r="D484" s="4">
        <v>39.525314334999997</v>
      </c>
      <c r="E484" s="3">
        <v>25.48</v>
      </c>
      <c r="F484" s="3">
        <v>1007.11</v>
      </c>
      <c r="G484" s="3">
        <v>25.27</v>
      </c>
      <c r="H484" s="3">
        <v>8.27</v>
      </c>
      <c r="I484" s="3">
        <v>998.84</v>
      </c>
    </row>
    <row r="485" spans="1:9" ht="15" customHeight="1" x14ac:dyDescent="0.25">
      <c r="A485" s="2" t="s">
        <v>74</v>
      </c>
      <c r="B485" s="2" t="s">
        <v>177</v>
      </c>
      <c r="C485" s="2" t="s">
        <v>178</v>
      </c>
      <c r="D485" s="4">
        <v>1.061371047</v>
      </c>
      <c r="E485" s="3">
        <v>226.49</v>
      </c>
      <c r="F485" s="3">
        <v>240.39</v>
      </c>
      <c r="G485" s="3">
        <v>209.15</v>
      </c>
      <c r="H485" s="3">
        <v>18.399999999999999</v>
      </c>
      <c r="I485" s="3">
        <v>221.99</v>
      </c>
    </row>
    <row r="486" spans="1:9" ht="15" customHeight="1" x14ac:dyDescent="0.25">
      <c r="A486" s="2" t="s">
        <v>74</v>
      </c>
      <c r="B486" s="2" t="s">
        <v>190</v>
      </c>
      <c r="C486" s="2" t="s">
        <v>191</v>
      </c>
      <c r="D486" s="4">
        <v>17</v>
      </c>
      <c r="E486" s="3">
        <v>26.95</v>
      </c>
      <c r="F486" s="3">
        <v>458.15</v>
      </c>
      <c r="G486" s="3">
        <v>25.08</v>
      </c>
      <c r="H486" s="3">
        <v>31.84</v>
      </c>
      <c r="I486" s="3">
        <v>426.31</v>
      </c>
    </row>
    <row r="487" spans="1:9" ht="15" customHeight="1" x14ac:dyDescent="0.25">
      <c r="A487" s="2" t="s">
        <v>74</v>
      </c>
      <c r="B487" s="2" t="s">
        <v>136</v>
      </c>
      <c r="C487" s="2" t="s">
        <v>151</v>
      </c>
      <c r="D487" s="4">
        <v>52.833707445999998</v>
      </c>
      <c r="E487" s="3">
        <v>25.05</v>
      </c>
      <c r="F487" s="3">
        <v>1323.48</v>
      </c>
      <c r="G487" s="3">
        <v>25.08</v>
      </c>
      <c r="H487" s="3">
        <v>-1.51</v>
      </c>
      <c r="I487" s="3">
        <v>1324.99</v>
      </c>
    </row>
    <row r="488" spans="1:9" ht="15" customHeight="1" x14ac:dyDescent="0.25">
      <c r="A488" s="2" t="s">
        <v>74</v>
      </c>
      <c r="B488" s="2" t="s">
        <v>164</v>
      </c>
      <c r="C488" s="2" t="s">
        <v>165</v>
      </c>
      <c r="D488" s="4">
        <v>32.238393264000003</v>
      </c>
      <c r="E488" s="3">
        <v>13.76</v>
      </c>
      <c r="F488" s="3">
        <v>443.6</v>
      </c>
      <c r="G488" s="3">
        <v>17.2</v>
      </c>
      <c r="H488" s="3">
        <v>-111.02</v>
      </c>
      <c r="I488" s="3">
        <v>554.62</v>
      </c>
    </row>
    <row r="489" spans="1:9" ht="15" customHeight="1" x14ac:dyDescent="0.25">
      <c r="A489" s="2" t="s">
        <v>76</v>
      </c>
      <c r="B489" s="2" t="s">
        <v>104</v>
      </c>
      <c r="C489" s="2" t="s">
        <v>105</v>
      </c>
      <c r="D489" s="4" t="s">
        <v>106</v>
      </c>
      <c r="E489" s="3"/>
      <c r="F489" s="3">
        <v>397.01</v>
      </c>
      <c r="G489" s="3"/>
      <c r="H489" s="3"/>
      <c r="I489" s="3"/>
    </row>
    <row r="490" spans="1:9" ht="15" customHeight="1" x14ac:dyDescent="0.25">
      <c r="A490" s="2" t="s">
        <v>76</v>
      </c>
      <c r="B490" s="2" t="s">
        <v>192</v>
      </c>
      <c r="C490" s="2" t="s">
        <v>193</v>
      </c>
      <c r="D490" s="4">
        <v>2.7978783599999999</v>
      </c>
      <c r="E490" s="3">
        <v>44.57</v>
      </c>
      <c r="F490" s="3">
        <v>124.7</v>
      </c>
      <c r="G490" s="3">
        <v>41.71</v>
      </c>
      <c r="H490" s="3">
        <v>8</v>
      </c>
      <c r="I490" s="3">
        <v>116.7</v>
      </c>
    </row>
    <row r="491" spans="1:9" ht="15" customHeight="1" x14ac:dyDescent="0.25">
      <c r="A491" s="2" t="s">
        <v>76</v>
      </c>
      <c r="B491" s="2" t="s">
        <v>215</v>
      </c>
      <c r="C491" s="2" t="s">
        <v>180</v>
      </c>
      <c r="D491" s="4">
        <v>20</v>
      </c>
      <c r="E491" s="3">
        <v>30.3</v>
      </c>
      <c r="F491" s="3">
        <v>606.05999999999995</v>
      </c>
      <c r="G491" s="3">
        <v>29.28</v>
      </c>
      <c r="H491" s="3">
        <v>20.47</v>
      </c>
      <c r="I491" s="3">
        <v>585.6</v>
      </c>
    </row>
    <row r="492" spans="1:9" ht="15" customHeight="1" x14ac:dyDescent="0.25">
      <c r="A492" s="2" t="s">
        <v>76</v>
      </c>
      <c r="B492" s="2" t="s">
        <v>111</v>
      </c>
      <c r="C492" s="2" t="s">
        <v>131</v>
      </c>
      <c r="D492" s="4">
        <v>1.4759498200000001</v>
      </c>
      <c r="E492" s="3">
        <v>141.38</v>
      </c>
      <c r="F492" s="3">
        <v>208.66</v>
      </c>
      <c r="G492" s="3">
        <v>117.96</v>
      </c>
      <c r="H492" s="3">
        <v>34.549999999999997</v>
      </c>
      <c r="I492" s="3">
        <v>174.11</v>
      </c>
    </row>
    <row r="493" spans="1:9" ht="15" customHeight="1" x14ac:dyDescent="0.25">
      <c r="A493" s="2" t="s">
        <v>76</v>
      </c>
      <c r="B493" s="2" t="s">
        <v>183</v>
      </c>
      <c r="C493" s="2" t="s">
        <v>184</v>
      </c>
      <c r="D493" s="4">
        <v>14.239620735999999</v>
      </c>
      <c r="E493" s="3">
        <v>26.83</v>
      </c>
      <c r="F493" s="3">
        <v>382.05</v>
      </c>
      <c r="G493" s="3">
        <v>26.71</v>
      </c>
      <c r="H493" s="3">
        <v>1.68</v>
      </c>
      <c r="I493" s="3">
        <v>380.37</v>
      </c>
    </row>
    <row r="494" spans="1:9" ht="15" customHeight="1" x14ac:dyDescent="0.25">
      <c r="A494" s="2" t="s">
        <v>76</v>
      </c>
      <c r="B494" s="2" t="s">
        <v>140</v>
      </c>
      <c r="C494" s="2" t="s">
        <v>141</v>
      </c>
      <c r="D494" s="4">
        <v>107.59141935300001</v>
      </c>
      <c r="E494" s="3">
        <v>8.7100000000000009</v>
      </c>
      <c r="F494" s="3">
        <v>937.12</v>
      </c>
      <c r="G494" s="3">
        <v>13.04</v>
      </c>
      <c r="H494" s="3">
        <v>-465.5</v>
      </c>
      <c r="I494" s="3">
        <v>1402.62</v>
      </c>
    </row>
    <row r="495" spans="1:9" ht="15" customHeight="1" x14ac:dyDescent="0.25">
      <c r="A495" s="2" t="s">
        <v>76</v>
      </c>
      <c r="B495" s="2" t="s">
        <v>158</v>
      </c>
      <c r="C495" s="2" t="s">
        <v>159</v>
      </c>
      <c r="D495" s="4">
        <v>15.706699087000001</v>
      </c>
      <c r="E495" s="3">
        <v>17.22</v>
      </c>
      <c r="F495" s="3">
        <v>270.47000000000003</v>
      </c>
      <c r="G495" s="3">
        <v>19.07</v>
      </c>
      <c r="H495" s="3">
        <v>-29</v>
      </c>
      <c r="I495" s="3">
        <v>299.47000000000003</v>
      </c>
    </row>
    <row r="496" spans="1:9" ht="15" customHeight="1" x14ac:dyDescent="0.25">
      <c r="A496" s="2" t="s">
        <v>76</v>
      </c>
      <c r="B496" s="2" t="s">
        <v>204</v>
      </c>
      <c r="C496" s="2" t="s">
        <v>205</v>
      </c>
      <c r="D496" s="4">
        <v>34</v>
      </c>
      <c r="E496" s="3">
        <v>6.51</v>
      </c>
      <c r="F496" s="3">
        <v>221.34</v>
      </c>
      <c r="G496" s="3">
        <v>6.44</v>
      </c>
      <c r="H496" s="3">
        <v>2.25</v>
      </c>
      <c r="I496" s="3">
        <v>219.09</v>
      </c>
    </row>
    <row r="497" spans="1:9" ht="15" customHeight="1" x14ac:dyDescent="0.25">
      <c r="A497" s="2" t="s">
        <v>76</v>
      </c>
      <c r="B497" s="2" t="s">
        <v>166</v>
      </c>
      <c r="C497" s="2" t="s">
        <v>167</v>
      </c>
      <c r="D497" s="4">
        <v>11.968195153</v>
      </c>
      <c r="E497" s="3">
        <v>51.04</v>
      </c>
      <c r="F497" s="3">
        <v>610.86</v>
      </c>
      <c r="G497" s="3">
        <v>50.83</v>
      </c>
      <c r="H497" s="3">
        <v>2.5099999999999998</v>
      </c>
      <c r="I497" s="3">
        <v>608.35</v>
      </c>
    </row>
    <row r="498" spans="1:9" ht="15" customHeight="1" x14ac:dyDescent="0.25">
      <c r="A498" s="2" t="s">
        <v>76</v>
      </c>
      <c r="B498" s="2" t="s">
        <v>170</v>
      </c>
      <c r="C498" s="2" t="s">
        <v>171</v>
      </c>
      <c r="D498" s="4">
        <v>11.637505959</v>
      </c>
      <c r="E498" s="3">
        <v>47.42</v>
      </c>
      <c r="F498" s="3">
        <v>551.85</v>
      </c>
      <c r="G498" s="3">
        <v>47.45</v>
      </c>
      <c r="H498" s="3">
        <v>-0.38</v>
      </c>
      <c r="I498" s="3">
        <v>552.23</v>
      </c>
    </row>
    <row r="499" spans="1:9" ht="15" customHeight="1" x14ac:dyDescent="0.25">
      <c r="A499" s="2" t="s">
        <v>76</v>
      </c>
      <c r="B499" s="2" t="s">
        <v>127</v>
      </c>
      <c r="C499" s="2" t="s">
        <v>128</v>
      </c>
      <c r="D499" s="4">
        <v>122.054406473</v>
      </c>
      <c r="E499" s="3">
        <v>25.54</v>
      </c>
      <c r="F499" s="3">
        <v>3117.27</v>
      </c>
      <c r="G499" s="3">
        <v>25.4</v>
      </c>
      <c r="H499" s="3">
        <v>17.600000000000001</v>
      </c>
      <c r="I499" s="3">
        <v>3099.67</v>
      </c>
    </row>
    <row r="500" spans="1:9" ht="15" customHeight="1" x14ac:dyDescent="0.25">
      <c r="A500" s="2" t="s">
        <v>76</v>
      </c>
      <c r="B500" s="2" t="s">
        <v>132</v>
      </c>
      <c r="C500" s="2" t="s">
        <v>133</v>
      </c>
      <c r="D500" s="4">
        <v>64</v>
      </c>
      <c r="E500" s="3">
        <v>12.91</v>
      </c>
      <c r="F500" s="3">
        <v>826.24</v>
      </c>
      <c r="G500" s="3">
        <v>15.41</v>
      </c>
      <c r="H500" s="3">
        <v>-159.94999999999999</v>
      </c>
      <c r="I500" s="3">
        <v>986.19</v>
      </c>
    </row>
    <row r="501" spans="1:9" ht="15" customHeight="1" x14ac:dyDescent="0.25">
      <c r="A501" s="2" t="s">
        <v>76</v>
      </c>
      <c r="B501" s="2" t="s">
        <v>216</v>
      </c>
      <c r="C501" s="2" t="s">
        <v>217</v>
      </c>
      <c r="D501" s="4">
        <v>1.3964005960000001</v>
      </c>
      <c r="E501" s="3">
        <v>20.69</v>
      </c>
      <c r="F501" s="3">
        <v>28.89</v>
      </c>
      <c r="G501" s="3">
        <v>21.45</v>
      </c>
      <c r="H501" s="3">
        <v>-1.06</v>
      </c>
      <c r="I501" s="3">
        <v>29.95</v>
      </c>
    </row>
    <row r="502" spans="1:9" ht="15" customHeight="1" x14ac:dyDescent="0.25">
      <c r="A502" s="2" t="s">
        <v>76</v>
      </c>
      <c r="B502" s="2" t="s">
        <v>134</v>
      </c>
      <c r="C502" s="2" t="s">
        <v>142</v>
      </c>
      <c r="D502" s="4">
        <v>79.549699883000002</v>
      </c>
      <c r="E502" s="3">
        <v>25.57</v>
      </c>
      <c r="F502" s="3">
        <v>2034.09</v>
      </c>
      <c r="G502" s="3">
        <v>25.62</v>
      </c>
      <c r="H502" s="3">
        <v>-4.22</v>
      </c>
      <c r="I502" s="3">
        <v>2038.31</v>
      </c>
    </row>
    <row r="503" spans="1:9" ht="15" customHeight="1" x14ac:dyDescent="0.25">
      <c r="A503" s="2" t="s">
        <v>76</v>
      </c>
      <c r="B503" s="2" t="s">
        <v>143</v>
      </c>
      <c r="C503" s="2" t="s">
        <v>144</v>
      </c>
      <c r="D503" s="4">
        <v>53.349080594999997</v>
      </c>
      <c r="E503" s="3">
        <v>50.79</v>
      </c>
      <c r="F503" s="3">
        <v>2709.6</v>
      </c>
      <c r="G503" s="3">
        <v>50.68</v>
      </c>
      <c r="H503" s="3">
        <v>5.88</v>
      </c>
      <c r="I503" s="3">
        <v>2703.72</v>
      </c>
    </row>
    <row r="504" spans="1:9" ht="15" customHeight="1" x14ac:dyDescent="0.25">
      <c r="A504" s="2" t="s">
        <v>76</v>
      </c>
      <c r="B504" s="2" t="s">
        <v>185</v>
      </c>
      <c r="C504" s="2" t="s">
        <v>186</v>
      </c>
      <c r="D504" s="4">
        <v>3.0824391549999999</v>
      </c>
      <c r="E504" s="3">
        <v>48.46</v>
      </c>
      <c r="F504" s="3">
        <v>149.38</v>
      </c>
      <c r="G504" s="3">
        <v>48.26</v>
      </c>
      <c r="H504" s="3">
        <v>0.63</v>
      </c>
      <c r="I504" s="3">
        <v>148.75</v>
      </c>
    </row>
    <row r="505" spans="1:9" ht="15" customHeight="1" x14ac:dyDescent="0.25">
      <c r="A505" s="2" t="s">
        <v>76</v>
      </c>
      <c r="B505" s="2" t="s">
        <v>218</v>
      </c>
      <c r="C505" s="2" t="s">
        <v>219</v>
      </c>
      <c r="D505" s="4">
        <v>5.9606258270000003</v>
      </c>
      <c r="E505" s="3">
        <v>55.1</v>
      </c>
      <c r="F505" s="3">
        <v>328.43</v>
      </c>
      <c r="G505" s="3">
        <v>54.44</v>
      </c>
      <c r="H505" s="3">
        <v>3.95</v>
      </c>
      <c r="I505" s="3">
        <v>324.48</v>
      </c>
    </row>
    <row r="506" spans="1:9" ht="15" customHeight="1" x14ac:dyDescent="0.25">
      <c r="A506" s="2" t="s">
        <v>76</v>
      </c>
      <c r="B506" s="2" t="s">
        <v>121</v>
      </c>
      <c r="C506" s="2" t="s">
        <v>172</v>
      </c>
      <c r="D506" s="4">
        <v>36.469684125000001</v>
      </c>
      <c r="E506" s="3">
        <v>31.91</v>
      </c>
      <c r="F506" s="3">
        <v>1163.6500000000001</v>
      </c>
      <c r="G506" s="3">
        <v>39.409999999999997</v>
      </c>
      <c r="H506" s="3">
        <v>-273.79000000000002</v>
      </c>
      <c r="I506" s="3">
        <v>1437.44</v>
      </c>
    </row>
    <row r="507" spans="1:9" ht="15" customHeight="1" x14ac:dyDescent="0.25">
      <c r="A507" s="2" t="s">
        <v>76</v>
      </c>
      <c r="B507" s="2" t="s">
        <v>173</v>
      </c>
      <c r="C507" s="2" t="s">
        <v>174</v>
      </c>
      <c r="D507" s="4">
        <v>3.147079266</v>
      </c>
      <c r="E507" s="3">
        <v>67.89</v>
      </c>
      <c r="F507" s="3">
        <v>213.66</v>
      </c>
      <c r="G507" s="3">
        <v>63.45</v>
      </c>
      <c r="H507" s="3">
        <v>13.98</v>
      </c>
      <c r="I507" s="3">
        <v>199.68</v>
      </c>
    </row>
    <row r="508" spans="1:9" ht="15" customHeight="1" x14ac:dyDescent="0.25">
      <c r="A508" s="2" t="s">
        <v>76</v>
      </c>
      <c r="B508" s="2" t="s">
        <v>220</v>
      </c>
      <c r="C508" s="2" t="s">
        <v>221</v>
      </c>
      <c r="D508" s="4">
        <v>6.3424902000000005E-2</v>
      </c>
      <c r="E508" s="3">
        <v>420.98</v>
      </c>
      <c r="F508" s="3">
        <v>26.7</v>
      </c>
      <c r="G508" s="3">
        <v>472.21</v>
      </c>
      <c r="H508" s="3">
        <v>-3.25</v>
      </c>
      <c r="I508" s="3">
        <v>29.95</v>
      </c>
    </row>
    <row r="509" spans="1:9" ht="15" customHeight="1" x14ac:dyDescent="0.25">
      <c r="A509" s="2" t="s">
        <v>76</v>
      </c>
      <c r="B509" s="2" t="s">
        <v>206</v>
      </c>
      <c r="C509" s="2" t="s">
        <v>207</v>
      </c>
      <c r="D509" s="4">
        <v>1.2524052530000001</v>
      </c>
      <c r="E509" s="3">
        <v>23.01</v>
      </c>
      <c r="F509" s="3">
        <v>28.82</v>
      </c>
      <c r="G509" s="3">
        <v>23.91</v>
      </c>
      <c r="H509" s="3">
        <v>-1.1200000000000001</v>
      </c>
      <c r="I509" s="3">
        <v>29.94</v>
      </c>
    </row>
    <row r="510" spans="1:9" ht="15" customHeight="1" x14ac:dyDescent="0.25">
      <c r="A510" s="2" t="s">
        <v>76</v>
      </c>
      <c r="B510" s="2" t="s">
        <v>179</v>
      </c>
      <c r="C510" s="2" t="s">
        <v>180</v>
      </c>
      <c r="D510" s="4">
        <v>31</v>
      </c>
      <c r="E510" s="3">
        <v>28.11</v>
      </c>
      <c r="F510" s="3">
        <v>871.49</v>
      </c>
      <c r="G510" s="3">
        <v>24.21</v>
      </c>
      <c r="H510" s="3">
        <v>121.08</v>
      </c>
      <c r="I510" s="3">
        <v>750.41</v>
      </c>
    </row>
    <row r="511" spans="1:9" ht="15" customHeight="1" x14ac:dyDescent="0.25">
      <c r="A511" s="2" t="s">
        <v>76</v>
      </c>
      <c r="B511" s="2" t="s">
        <v>152</v>
      </c>
      <c r="C511" s="2" t="s">
        <v>153</v>
      </c>
      <c r="D511" s="4">
        <v>37.791682555000001</v>
      </c>
      <c r="E511" s="3">
        <v>19.5</v>
      </c>
      <c r="F511" s="3">
        <v>736.94</v>
      </c>
      <c r="G511" s="3">
        <v>26.06</v>
      </c>
      <c r="H511" s="3">
        <v>-248.05</v>
      </c>
      <c r="I511" s="3">
        <v>984.99</v>
      </c>
    </row>
    <row r="512" spans="1:9" ht="15" customHeight="1" x14ac:dyDescent="0.25">
      <c r="A512" s="2" t="s">
        <v>76</v>
      </c>
      <c r="B512" s="2" t="s">
        <v>113</v>
      </c>
      <c r="C512" s="2" t="s">
        <v>114</v>
      </c>
      <c r="D512" s="4">
        <v>2.9389128389999999</v>
      </c>
      <c r="E512" s="3">
        <v>96.22</v>
      </c>
      <c r="F512" s="3">
        <v>282.77999999999997</v>
      </c>
      <c r="G512" s="3">
        <v>69.989999999999995</v>
      </c>
      <c r="H512" s="3">
        <v>77.099999999999994</v>
      </c>
      <c r="I512" s="3">
        <v>205.68</v>
      </c>
    </row>
    <row r="513" spans="1:9" ht="15" customHeight="1" x14ac:dyDescent="0.25">
      <c r="A513" s="2" t="s">
        <v>76</v>
      </c>
      <c r="B513" s="2" t="s">
        <v>145</v>
      </c>
      <c r="C513" s="2" t="s">
        <v>146</v>
      </c>
      <c r="D513" s="4">
        <v>42.113844804000003</v>
      </c>
      <c r="E513" s="3">
        <v>17.399999999999999</v>
      </c>
      <c r="F513" s="3">
        <v>732.78</v>
      </c>
      <c r="G513" s="3">
        <v>22.96</v>
      </c>
      <c r="H513" s="3">
        <v>-234.3</v>
      </c>
      <c r="I513" s="3">
        <v>967.08</v>
      </c>
    </row>
    <row r="514" spans="1:9" ht="15" customHeight="1" x14ac:dyDescent="0.25">
      <c r="A514" s="2" t="s">
        <v>76</v>
      </c>
      <c r="B514" s="2" t="s">
        <v>154</v>
      </c>
      <c r="C514" s="2" t="s">
        <v>155</v>
      </c>
      <c r="D514" s="4">
        <v>3.7875904999999999</v>
      </c>
      <c r="E514" s="3">
        <v>56.13</v>
      </c>
      <c r="F514" s="3">
        <v>212.6</v>
      </c>
      <c r="G514" s="3">
        <v>60.63</v>
      </c>
      <c r="H514" s="3">
        <v>-17.03</v>
      </c>
      <c r="I514" s="3">
        <v>229.63</v>
      </c>
    </row>
    <row r="515" spans="1:9" ht="15" customHeight="1" x14ac:dyDescent="0.25">
      <c r="A515" s="2" t="s">
        <v>76</v>
      </c>
      <c r="B515" s="2" t="s">
        <v>149</v>
      </c>
      <c r="C515" s="2" t="s">
        <v>150</v>
      </c>
      <c r="D515" s="4">
        <v>3.7018872780000001</v>
      </c>
      <c r="E515" s="3">
        <v>47.79</v>
      </c>
      <c r="F515" s="3">
        <v>176.91</v>
      </c>
      <c r="G515" s="3">
        <v>45.85</v>
      </c>
      <c r="H515" s="3">
        <v>7.18</v>
      </c>
      <c r="I515" s="3">
        <v>169.73</v>
      </c>
    </row>
    <row r="516" spans="1:9" ht="15" customHeight="1" x14ac:dyDescent="0.25">
      <c r="A516" s="2" t="s">
        <v>76</v>
      </c>
      <c r="B516" s="2" t="s">
        <v>129</v>
      </c>
      <c r="C516" s="2" t="s">
        <v>130</v>
      </c>
      <c r="D516" s="4">
        <v>49</v>
      </c>
      <c r="E516" s="3">
        <v>50.35</v>
      </c>
      <c r="F516" s="3">
        <v>2466.91</v>
      </c>
      <c r="G516" s="3">
        <v>50.24</v>
      </c>
      <c r="H516" s="3">
        <v>4.9800000000000004</v>
      </c>
      <c r="I516" s="3">
        <v>2461.92</v>
      </c>
    </row>
    <row r="517" spans="1:9" ht="15" customHeight="1" x14ac:dyDescent="0.25">
      <c r="A517" s="2" t="s">
        <v>76</v>
      </c>
      <c r="B517" s="2" t="s">
        <v>175</v>
      </c>
      <c r="C517" s="2" t="s">
        <v>176</v>
      </c>
      <c r="D517" s="4">
        <v>3.5858065880000001</v>
      </c>
      <c r="E517" s="3">
        <v>158.35</v>
      </c>
      <c r="F517" s="3">
        <v>567.80999999999995</v>
      </c>
      <c r="G517" s="3">
        <v>67.94</v>
      </c>
      <c r="H517" s="3">
        <v>324.2</v>
      </c>
      <c r="I517" s="3">
        <v>243.61</v>
      </c>
    </row>
    <row r="518" spans="1:9" ht="15" customHeight="1" x14ac:dyDescent="0.25">
      <c r="A518" s="2" t="s">
        <v>76</v>
      </c>
      <c r="B518" s="2" t="s">
        <v>194</v>
      </c>
      <c r="C518" s="2" t="s">
        <v>195</v>
      </c>
      <c r="D518" s="4">
        <v>9</v>
      </c>
      <c r="E518" s="3">
        <v>69.02</v>
      </c>
      <c r="F518" s="3">
        <v>621.17999999999995</v>
      </c>
      <c r="G518" s="3">
        <v>70.69</v>
      </c>
      <c r="H518" s="3">
        <v>-14.99</v>
      </c>
      <c r="I518" s="3">
        <v>636.16999999999996</v>
      </c>
    </row>
    <row r="519" spans="1:9" ht="15" customHeight="1" x14ac:dyDescent="0.25">
      <c r="A519" s="2" t="s">
        <v>76</v>
      </c>
      <c r="B519" s="2" t="s">
        <v>187</v>
      </c>
      <c r="C519" s="2" t="s">
        <v>212</v>
      </c>
      <c r="D519" s="4">
        <v>17</v>
      </c>
      <c r="E519" s="3">
        <v>36.65</v>
      </c>
      <c r="F519" s="3">
        <v>623.04999999999995</v>
      </c>
      <c r="G519" s="3">
        <v>37.21</v>
      </c>
      <c r="H519" s="3">
        <v>-9.4700000000000006</v>
      </c>
      <c r="I519" s="3">
        <v>632.52</v>
      </c>
    </row>
    <row r="520" spans="1:9" ht="15" customHeight="1" x14ac:dyDescent="0.25">
      <c r="A520" s="2" t="s">
        <v>76</v>
      </c>
      <c r="B520" s="2" t="s">
        <v>213</v>
      </c>
      <c r="C520" s="2" t="s">
        <v>214</v>
      </c>
      <c r="D520" s="4">
        <v>8.4321536219999995</v>
      </c>
      <c r="E520" s="3">
        <v>26.5</v>
      </c>
      <c r="F520" s="3">
        <v>223.45</v>
      </c>
      <c r="G520" s="3">
        <v>26.99</v>
      </c>
      <c r="H520" s="3">
        <v>-4.16</v>
      </c>
      <c r="I520" s="3">
        <v>227.61</v>
      </c>
    </row>
    <row r="521" spans="1:9" ht="15" customHeight="1" x14ac:dyDescent="0.25">
      <c r="A521" s="2" t="s">
        <v>76</v>
      </c>
      <c r="B521" s="2" t="s">
        <v>196</v>
      </c>
      <c r="C521" s="2" t="s">
        <v>197</v>
      </c>
      <c r="D521" s="4">
        <v>16.334693355999999</v>
      </c>
      <c r="E521" s="3">
        <v>23.09</v>
      </c>
      <c r="F521" s="3">
        <v>377.17</v>
      </c>
      <c r="G521" s="3">
        <v>22.27</v>
      </c>
      <c r="H521" s="3">
        <v>13.45</v>
      </c>
      <c r="I521" s="3">
        <v>363.72</v>
      </c>
    </row>
    <row r="522" spans="1:9" ht="15" customHeight="1" x14ac:dyDescent="0.25">
      <c r="A522" s="2" t="s">
        <v>76</v>
      </c>
      <c r="B522" s="2" t="s">
        <v>119</v>
      </c>
      <c r="C522" s="2" t="s">
        <v>120</v>
      </c>
      <c r="D522" s="4">
        <v>45.588122087999999</v>
      </c>
      <c r="E522" s="3">
        <v>100.72</v>
      </c>
      <c r="F522" s="3">
        <v>4591.6400000000003</v>
      </c>
      <c r="G522" s="3">
        <v>100.31</v>
      </c>
      <c r="H522" s="3">
        <v>18.68</v>
      </c>
      <c r="I522" s="3">
        <v>4572.95</v>
      </c>
    </row>
    <row r="523" spans="1:9" ht="15" customHeight="1" x14ac:dyDescent="0.25">
      <c r="A523" s="2" t="s">
        <v>76</v>
      </c>
      <c r="B523" s="2" t="s">
        <v>115</v>
      </c>
      <c r="C523" s="2" t="s">
        <v>116</v>
      </c>
      <c r="D523" s="4">
        <v>58.419561487999999</v>
      </c>
      <c r="E523" s="3">
        <v>110.41</v>
      </c>
      <c r="F523" s="3">
        <v>6450.1</v>
      </c>
      <c r="G523" s="3">
        <v>110.07</v>
      </c>
      <c r="H523" s="3">
        <v>19.7</v>
      </c>
      <c r="I523" s="3">
        <v>6430.4</v>
      </c>
    </row>
    <row r="524" spans="1:9" ht="15" customHeight="1" x14ac:dyDescent="0.25">
      <c r="A524" s="2" t="s">
        <v>76</v>
      </c>
      <c r="B524" s="2" t="s">
        <v>181</v>
      </c>
      <c r="C524" s="2" t="s">
        <v>182</v>
      </c>
      <c r="D524" s="4">
        <v>9.5861616040000008</v>
      </c>
      <c r="E524" s="3">
        <v>21.12</v>
      </c>
      <c r="F524" s="3">
        <v>202.46</v>
      </c>
      <c r="G524" s="3">
        <v>26.04</v>
      </c>
      <c r="H524" s="3">
        <v>-47.14</v>
      </c>
      <c r="I524" s="3">
        <v>249.6</v>
      </c>
    </row>
    <row r="525" spans="1:9" ht="15" customHeight="1" x14ac:dyDescent="0.25">
      <c r="A525" s="2" t="s">
        <v>76</v>
      </c>
      <c r="B525" s="2" t="s">
        <v>162</v>
      </c>
      <c r="C525" s="2" t="s">
        <v>189</v>
      </c>
      <c r="D525" s="4">
        <v>40.982053825000001</v>
      </c>
      <c r="E525" s="3">
        <v>25.43</v>
      </c>
      <c r="F525" s="3">
        <v>1042.17</v>
      </c>
      <c r="G525" s="3">
        <v>25.27</v>
      </c>
      <c r="H525" s="3">
        <v>6.39</v>
      </c>
      <c r="I525" s="3">
        <v>1035.78</v>
      </c>
    </row>
    <row r="526" spans="1:9" ht="15" customHeight="1" x14ac:dyDescent="0.25">
      <c r="A526" s="2" t="s">
        <v>76</v>
      </c>
      <c r="B526" s="2" t="s">
        <v>222</v>
      </c>
      <c r="C526" s="2" t="s">
        <v>223</v>
      </c>
      <c r="D526" s="4">
        <v>13.370193596</v>
      </c>
      <c r="E526" s="3">
        <v>3.19</v>
      </c>
      <c r="F526" s="3">
        <v>42.65</v>
      </c>
      <c r="G526" s="3">
        <v>3.73</v>
      </c>
      <c r="H526" s="3">
        <v>-7.21</v>
      </c>
      <c r="I526" s="3">
        <v>49.86</v>
      </c>
    </row>
    <row r="527" spans="1:9" ht="15" customHeight="1" x14ac:dyDescent="0.25">
      <c r="A527" s="2" t="s">
        <v>76</v>
      </c>
      <c r="B527" s="2" t="s">
        <v>177</v>
      </c>
      <c r="C527" s="2" t="s">
        <v>178</v>
      </c>
      <c r="D527" s="4">
        <v>1.061371047</v>
      </c>
      <c r="E527" s="3">
        <v>241.62</v>
      </c>
      <c r="F527" s="3">
        <v>256.45</v>
      </c>
      <c r="G527" s="3">
        <v>209.15</v>
      </c>
      <c r="H527" s="3">
        <v>34.46</v>
      </c>
      <c r="I527" s="3">
        <v>221.99</v>
      </c>
    </row>
    <row r="528" spans="1:9" ht="15" customHeight="1" x14ac:dyDescent="0.25">
      <c r="A528" s="2" t="s">
        <v>76</v>
      </c>
      <c r="B528" s="2" t="s">
        <v>190</v>
      </c>
      <c r="C528" s="2" t="s">
        <v>191</v>
      </c>
      <c r="D528" s="4">
        <v>18</v>
      </c>
      <c r="E528" s="3">
        <v>26.57</v>
      </c>
      <c r="F528" s="3">
        <v>478.26</v>
      </c>
      <c r="G528" s="3">
        <v>25.17</v>
      </c>
      <c r="H528" s="3">
        <v>25.27</v>
      </c>
      <c r="I528" s="3">
        <v>452.99</v>
      </c>
    </row>
    <row r="529" spans="1:9" ht="15" customHeight="1" x14ac:dyDescent="0.25">
      <c r="A529" s="2" t="s">
        <v>76</v>
      </c>
      <c r="B529" s="2" t="s">
        <v>136</v>
      </c>
      <c r="C529" s="2" t="s">
        <v>151</v>
      </c>
      <c r="D529" s="4">
        <v>55.221300822000003</v>
      </c>
      <c r="E529" s="3">
        <v>25.09</v>
      </c>
      <c r="F529" s="3">
        <v>1385.23</v>
      </c>
      <c r="G529" s="3">
        <v>25.08</v>
      </c>
      <c r="H529" s="3">
        <v>0.34</v>
      </c>
      <c r="I529" s="3">
        <v>1384.89</v>
      </c>
    </row>
    <row r="530" spans="1:9" ht="15" customHeight="1" x14ac:dyDescent="0.25">
      <c r="A530" s="2" t="s">
        <v>76</v>
      </c>
      <c r="B530" s="2" t="s">
        <v>164</v>
      </c>
      <c r="C530" s="2" t="s">
        <v>165</v>
      </c>
      <c r="D530" s="4">
        <v>32.238393264000003</v>
      </c>
      <c r="E530" s="3">
        <v>13.56</v>
      </c>
      <c r="F530" s="3">
        <v>437.15</v>
      </c>
      <c r="G530" s="3">
        <v>17.2</v>
      </c>
      <c r="H530" s="3">
        <v>-117.47</v>
      </c>
      <c r="I530" s="3">
        <v>554.62</v>
      </c>
    </row>
    <row r="531" spans="1:9" ht="15" customHeight="1" x14ac:dyDescent="0.25">
      <c r="A531" s="2" t="s">
        <v>78</v>
      </c>
      <c r="B531" s="2" t="s">
        <v>104</v>
      </c>
      <c r="C531" s="2" t="s">
        <v>105</v>
      </c>
      <c r="D531" s="4" t="s">
        <v>106</v>
      </c>
      <c r="E531" s="3"/>
      <c r="F531" s="3">
        <v>700.9</v>
      </c>
      <c r="G531" s="3"/>
      <c r="H531" s="3"/>
      <c r="I531" s="3"/>
    </row>
    <row r="532" spans="1:9" ht="15" customHeight="1" x14ac:dyDescent="0.25">
      <c r="A532" s="2" t="s">
        <v>78</v>
      </c>
      <c r="B532" s="2" t="s">
        <v>192</v>
      </c>
      <c r="C532" s="2" t="s">
        <v>193</v>
      </c>
      <c r="D532" s="4">
        <v>2.7978783599999999</v>
      </c>
      <c r="E532" s="3">
        <v>45.08</v>
      </c>
      <c r="F532" s="3">
        <v>126.13</v>
      </c>
      <c r="G532" s="3">
        <v>41.71</v>
      </c>
      <c r="H532" s="3">
        <v>9.43</v>
      </c>
      <c r="I532" s="3">
        <v>116.7</v>
      </c>
    </row>
    <row r="533" spans="1:9" ht="15" customHeight="1" x14ac:dyDescent="0.25">
      <c r="A533" s="2" t="s">
        <v>78</v>
      </c>
      <c r="B533" s="2" t="s">
        <v>215</v>
      </c>
      <c r="C533" s="2" t="s">
        <v>180</v>
      </c>
      <c r="D533" s="4">
        <v>21</v>
      </c>
      <c r="E533" s="3">
        <v>29.97</v>
      </c>
      <c r="F533" s="3">
        <v>629.47</v>
      </c>
      <c r="G533" s="3">
        <v>29.27</v>
      </c>
      <c r="H533" s="3">
        <v>14.77</v>
      </c>
      <c r="I533" s="3">
        <v>614.70000000000005</v>
      </c>
    </row>
    <row r="534" spans="1:9" ht="15" customHeight="1" x14ac:dyDescent="0.25">
      <c r="A534" s="2" t="s">
        <v>78</v>
      </c>
      <c r="B534" s="2" t="s">
        <v>111</v>
      </c>
      <c r="C534" s="2" t="s">
        <v>131</v>
      </c>
      <c r="D534" s="4">
        <v>1.4759498200000001</v>
      </c>
      <c r="E534" s="3">
        <v>138.31</v>
      </c>
      <c r="F534" s="3">
        <v>204.14</v>
      </c>
      <c r="G534" s="3">
        <v>117.96</v>
      </c>
      <c r="H534" s="3">
        <v>30.03</v>
      </c>
      <c r="I534" s="3">
        <v>174.11</v>
      </c>
    </row>
    <row r="535" spans="1:9" ht="15" customHeight="1" x14ac:dyDescent="0.25">
      <c r="A535" s="2" t="s">
        <v>78</v>
      </c>
      <c r="B535" s="2" t="s">
        <v>183</v>
      </c>
      <c r="C535" s="2" t="s">
        <v>184</v>
      </c>
      <c r="D535" s="4">
        <v>14.585929760999999</v>
      </c>
      <c r="E535" s="3">
        <v>26.94</v>
      </c>
      <c r="F535" s="3">
        <v>392.94</v>
      </c>
      <c r="G535" s="3">
        <v>26.71</v>
      </c>
      <c r="H535" s="3">
        <v>3.31</v>
      </c>
      <c r="I535" s="3">
        <v>389.64</v>
      </c>
    </row>
    <row r="536" spans="1:9" ht="15" customHeight="1" x14ac:dyDescent="0.25">
      <c r="A536" s="2" t="s">
        <v>78</v>
      </c>
      <c r="B536" s="2" t="s">
        <v>140</v>
      </c>
      <c r="C536" s="2" t="s">
        <v>224</v>
      </c>
      <c r="D536" s="4">
        <v>107.59141935300001</v>
      </c>
      <c r="E536" s="3">
        <v>6.86</v>
      </c>
      <c r="F536" s="3">
        <v>738.08</v>
      </c>
      <c r="G536" s="3">
        <v>13.04</v>
      </c>
      <c r="H536" s="3">
        <v>-664.55</v>
      </c>
      <c r="I536" s="3">
        <v>1402.62</v>
      </c>
    </row>
    <row r="537" spans="1:9" ht="15" customHeight="1" x14ac:dyDescent="0.25">
      <c r="A537" s="2" t="s">
        <v>78</v>
      </c>
      <c r="B537" s="2" t="s">
        <v>225</v>
      </c>
      <c r="C537" s="2" t="s">
        <v>226</v>
      </c>
      <c r="D537" s="4">
        <v>4.9920996039999999</v>
      </c>
      <c r="E537" s="3">
        <v>29.75</v>
      </c>
      <c r="F537" s="3">
        <v>148.51</v>
      </c>
      <c r="G537" s="3">
        <v>30</v>
      </c>
      <c r="H537" s="3">
        <v>-1.24</v>
      </c>
      <c r="I537" s="3">
        <v>149.76</v>
      </c>
    </row>
    <row r="538" spans="1:9" ht="15" customHeight="1" x14ac:dyDescent="0.25">
      <c r="A538" s="2" t="s">
        <v>78</v>
      </c>
      <c r="B538" s="2" t="s">
        <v>158</v>
      </c>
      <c r="C538" s="2" t="s">
        <v>227</v>
      </c>
      <c r="D538" s="4">
        <v>16.087227873</v>
      </c>
      <c r="E538" s="3">
        <v>16.079999999999998</v>
      </c>
      <c r="F538" s="3">
        <v>258.68</v>
      </c>
      <c r="G538" s="3">
        <v>19</v>
      </c>
      <c r="H538" s="3">
        <v>-46.95</v>
      </c>
      <c r="I538" s="3">
        <v>305.63</v>
      </c>
    </row>
    <row r="539" spans="1:9" ht="15" customHeight="1" x14ac:dyDescent="0.25">
      <c r="A539" s="2" t="s">
        <v>78</v>
      </c>
      <c r="B539" s="2" t="s">
        <v>204</v>
      </c>
      <c r="C539" s="2" t="s">
        <v>205</v>
      </c>
      <c r="D539" s="4">
        <v>34</v>
      </c>
      <c r="E539" s="3">
        <v>6.7</v>
      </c>
      <c r="F539" s="3">
        <v>227.8</v>
      </c>
      <c r="G539" s="3">
        <v>6.44</v>
      </c>
      <c r="H539" s="3">
        <v>8.7100000000000009</v>
      </c>
      <c r="I539" s="3">
        <v>219.09</v>
      </c>
    </row>
    <row r="540" spans="1:9" ht="15" customHeight="1" x14ac:dyDescent="0.25">
      <c r="A540" s="2" t="s">
        <v>78</v>
      </c>
      <c r="B540" s="2" t="s">
        <v>166</v>
      </c>
      <c r="C540" s="2" t="s">
        <v>167</v>
      </c>
      <c r="D540" s="4">
        <v>12.210551603000001</v>
      </c>
      <c r="E540" s="3">
        <v>51.05</v>
      </c>
      <c r="F540" s="3">
        <v>623.35</v>
      </c>
      <c r="G540" s="3">
        <v>50.83</v>
      </c>
      <c r="H540" s="3">
        <v>2.65</v>
      </c>
      <c r="I540" s="3">
        <v>620.70000000000005</v>
      </c>
    </row>
    <row r="541" spans="1:9" ht="15" customHeight="1" x14ac:dyDescent="0.25">
      <c r="A541" s="2" t="s">
        <v>78</v>
      </c>
      <c r="B541" s="2" t="s">
        <v>170</v>
      </c>
      <c r="C541" s="2" t="s">
        <v>228</v>
      </c>
      <c r="D541" s="4">
        <v>11.637505959</v>
      </c>
      <c r="E541" s="3">
        <v>47.39</v>
      </c>
      <c r="F541" s="3">
        <v>551.5</v>
      </c>
      <c r="G541" s="3">
        <v>47.45</v>
      </c>
      <c r="H541" s="3">
        <v>-0.73</v>
      </c>
      <c r="I541" s="3">
        <v>552.23</v>
      </c>
    </row>
    <row r="542" spans="1:9" ht="15" customHeight="1" x14ac:dyDescent="0.25">
      <c r="A542" s="2" t="s">
        <v>78</v>
      </c>
      <c r="B542" s="2" t="s">
        <v>127</v>
      </c>
      <c r="C542" s="2" t="s">
        <v>128</v>
      </c>
      <c r="D542" s="4">
        <v>122.538758186</v>
      </c>
      <c r="E542" s="3">
        <v>25.55</v>
      </c>
      <c r="F542" s="3">
        <v>3130.87</v>
      </c>
      <c r="G542" s="3">
        <v>25.4</v>
      </c>
      <c r="H542" s="3">
        <v>18.84</v>
      </c>
      <c r="I542" s="3">
        <v>3112.02</v>
      </c>
    </row>
    <row r="543" spans="1:9" ht="15" customHeight="1" x14ac:dyDescent="0.25">
      <c r="A543" s="2" t="s">
        <v>78</v>
      </c>
      <c r="B543" s="2" t="s">
        <v>132</v>
      </c>
      <c r="C543" s="2" t="s">
        <v>229</v>
      </c>
      <c r="D543" s="4">
        <v>65</v>
      </c>
      <c r="E543" s="3">
        <v>13.58</v>
      </c>
      <c r="F543" s="3">
        <v>882.7</v>
      </c>
      <c r="G543" s="3">
        <v>15.37</v>
      </c>
      <c r="H543" s="3">
        <v>-116.4</v>
      </c>
      <c r="I543" s="3">
        <v>999.1</v>
      </c>
    </row>
    <row r="544" spans="1:9" ht="15" customHeight="1" x14ac:dyDescent="0.25">
      <c r="A544" s="2" t="s">
        <v>78</v>
      </c>
      <c r="B544" s="2" t="s">
        <v>216</v>
      </c>
      <c r="C544" s="2" t="s">
        <v>217</v>
      </c>
      <c r="D544" s="4">
        <v>1.3964005960000001</v>
      </c>
      <c r="E544" s="3">
        <v>22.57</v>
      </c>
      <c r="F544" s="3">
        <v>31.52</v>
      </c>
      <c r="G544" s="3">
        <v>21.45</v>
      </c>
      <c r="H544" s="3">
        <v>1.57</v>
      </c>
      <c r="I544" s="3">
        <v>29.95</v>
      </c>
    </row>
    <row r="545" spans="1:9" ht="15" customHeight="1" x14ac:dyDescent="0.25">
      <c r="A545" s="2" t="s">
        <v>78</v>
      </c>
      <c r="B545" s="2" t="s">
        <v>134</v>
      </c>
      <c r="C545" s="2" t="s">
        <v>142</v>
      </c>
      <c r="D545" s="4">
        <v>79.549699883000002</v>
      </c>
      <c r="E545" s="3">
        <v>25.61</v>
      </c>
      <c r="F545" s="3">
        <v>2037.27</v>
      </c>
      <c r="G545" s="3">
        <v>25.62</v>
      </c>
      <c r="H545" s="3">
        <v>-1.04</v>
      </c>
      <c r="I545" s="3">
        <v>2038.31</v>
      </c>
    </row>
    <row r="546" spans="1:9" ht="15" customHeight="1" x14ac:dyDescent="0.25">
      <c r="A546" s="2" t="s">
        <v>78</v>
      </c>
      <c r="B546" s="2" t="s">
        <v>143</v>
      </c>
      <c r="C546" s="2" t="s">
        <v>144</v>
      </c>
      <c r="D546" s="4">
        <v>53.654127191000001</v>
      </c>
      <c r="E546" s="3">
        <v>50.82</v>
      </c>
      <c r="F546" s="3">
        <v>2726.7</v>
      </c>
      <c r="G546" s="3">
        <v>50.68</v>
      </c>
      <c r="H546" s="3">
        <v>7.54</v>
      </c>
      <c r="I546" s="3">
        <v>2719.17</v>
      </c>
    </row>
    <row r="547" spans="1:9" ht="15" customHeight="1" x14ac:dyDescent="0.25">
      <c r="A547" s="2" t="s">
        <v>78</v>
      </c>
      <c r="B547" s="2" t="s">
        <v>185</v>
      </c>
      <c r="C547" s="2" t="s">
        <v>186</v>
      </c>
      <c r="D547" s="4">
        <v>3.2745714709999998</v>
      </c>
      <c r="E547" s="3">
        <v>48.46</v>
      </c>
      <c r="F547" s="3">
        <v>158.69</v>
      </c>
      <c r="G547" s="3">
        <v>48.26</v>
      </c>
      <c r="H547" s="3">
        <v>0.67</v>
      </c>
      <c r="I547" s="3">
        <v>158.02000000000001</v>
      </c>
    </row>
    <row r="548" spans="1:9" ht="15" customHeight="1" x14ac:dyDescent="0.25">
      <c r="A548" s="2" t="s">
        <v>78</v>
      </c>
      <c r="B548" s="2" t="s">
        <v>218</v>
      </c>
      <c r="C548" s="2" t="s">
        <v>219</v>
      </c>
      <c r="D548" s="4">
        <v>6.2393155340000002</v>
      </c>
      <c r="E548" s="3">
        <v>55.68</v>
      </c>
      <c r="F548" s="3">
        <v>347.41</v>
      </c>
      <c r="G548" s="3">
        <v>54.48</v>
      </c>
      <c r="H548" s="3">
        <v>7.48</v>
      </c>
      <c r="I548" s="3">
        <v>339.93</v>
      </c>
    </row>
    <row r="549" spans="1:9" ht="15" customHeight="1" x14ac:dyDescent="0.25">
      <c r="A549" s="2" t="s">
        <v>78</v>
      </c>
      <c r="B549" s="2" t="s">
        <v>121</v>
      </c>
      <c r="C549" s="2" t="s">
        <v>172</v>
      </c>
      <c r="D549" s="4">
        <v>36.469684125000001</v>
      </c>
      <c r="E549" s="3">
        <v>32.549999999999997</v>
      </c>
      <c r="F549" s="3">
        <v>1187.0899999999999</v>
      </c>
      <c r="G549" s="3">
        <v>39.409999999999997</v>
      </c>
      <c r="H549" s="3">
        <v>-250.35</v>
      </c>
      <c r="I549" s="3">
        <v>1437.44</v>
      </c>
    </row>
    <row r="550" spans="1:9" ht="15" customHeight="1" x14ac:dyDescent="0.25">
      <c r="A550" s="2" t="s">
        <v>78</v>
      </c>
      <c r="B550" s="2" t="s">
        <v>173</v>
      </c>
      <c r="C550" s="2" t="s">
        <v>174</v>
      </c>
      <c r="D550" s="4">
        <v>3.147079266</v>
      </c>
      <c r="E550" s="3">
        <v>68.989999999999995</v>
      </c>
      <c r="F550" s="3">
        <v>217.12</v>
      </c>
      <c r="G550" s="3">
        <v>63.45</v>
      </c>
      <c r="H550" s="3">
        <v>17.440000000000001</v>
      </c>
      <c r="I550" s="3">
        <v>199.68</v>
      </c>
    </row>
    <row r="551" spans="1:9" ht="15" customHeight="1" x14ac:dyDescent="0.25">
      <c r="A551" s="2" t="s">
        <v>78</v>
      </c>
      <c r="B551" s="2" t="s">
        <v>220</v>
      </c>
      <c r="C551" s="2" t="s">
        <v>221</v>
      </c>
      <c r="D551" s="4">
        <v>6.3424902000000005E-2</v>
      </c>
      <c r="E551" s="3">
        <v>455.63</v>
      </c>
      <c r="F551" s="3">
        <v>28.9</v>
      </c>
      <c r="G551" s="3">
        <v>472.21</v>
      </c>
      <c r="H551" s="3">
        <v>-1.05</v>
      </c>
      <c r="I551" s="3">
        <v>29.95</v>
      </c>
    </row>
    <row r="552" spans="1:9" ht="15" customHeight="1" x14ac:dyDescent="0.25">
      <c r="A552" s="2" t="s">
        <v>78</v>
      </c>
      <c r="B552" s="2" t="s">
        <v>206</v>
      </c>
      <c r="C552" s="2" t="s">
        <v>207</v>
      </c>
      <c r="D552" s="4">
        <v>1.2524052530000001</v>
      </c>
      <c r="E552" s="3">
        <v>25.95</v>
      </c>
      <c r="F552" s="3">
        <v>32.5</v>
      </c>
      <c r="G552" s="3">
        <v>23.91</v>
      </c>
      <c r="H552" s="3">
        <v>2.56</v>
      </c>
      <c r="I552" s="3">
        <v>29.94</v>
      </c>
    </row>
    <row r="553" spans="1:9" ht="15" customHeight="1" x14ac:dyDescent="0.25">
      <c r="A553" s="2" t="s">
        <v>78</v>
      </c>
      <c r="B553" s="2" t="s">
        <v>179</v>
      </c>
      <c r="C553" s="2" t="s">
        <v>180</v>
      </c>
      <c r="D553" s="4">
        <v>32</v>
      </c>
      <c r="E553" s="3">
        <v>26.92</v>
      </c>
      <c r="F553" s="3">
        <v>861.58</v>
      </c>
      <c r="G553" s="3">
        <v>24.29</v>
      </c>
      <c r="H553" s="3">
        <v>84.21</v>
      </c>
      <c r="I553" s="3">
        <v>777.37</v>
      </c>
    </row>
    <row r="554" spans="1:9" ht="15" customHeight="1" x14ac:dyDescent="0.25">
      <c r="A554" s="2" t="s">
        <v>78</v>
      </c>
      <c r="B554" s="2" t="s">
        <v>152</v>
      </c>
      <c r="C554" s="2" t="s">
        <v>230</v>
      </c>
      <c r="D554" s="4">
        <v>38.104150953999998</v>
      </c>
      <c r="E554" s="3">
        <v>15.5</v>
      </c>
      <c r="F554" s="3">
        <v>590.61</v>
      </c>
      <c r="G554" s="3">
        <v>26.01</v>
      </c>
      <c r="H554" s="3">
        <v>-400.56</v>
      </c>
      <c r="I554" s="3">
        <v>991.17</v>
      </c>
    </row>
    <row r="555" spans="1:9" ht="15" customHeight="1" x14ac:dyDescent="0.25">
      <c r="A555" s="2" t="s">
        <v>78</v>
      </c>
      <c r="B555" s="2" t="s">
        <v>113</v>
      </c>
      <c r="C555" s="2" t="s">
        <v>114</v>
      </c>
      <c r="D555" s="4">
        <v>2.9389128389999999</v>
      </c>
      <c r="E555" s="3">
        <v>94.74</v>
      </c>
      <c r="F555" s="3">
        <v>278.43</v>
      </c>
      <c r="G555" s="3">
        <v>69.989999999999995</v>
      </c>
      <c r="H555" s="3">
        <v>72.75</v>
      </c>
      <c r="I555" s="3">
        <v>205.68</v>
      </c>
    </row>
    <row r="556" spans="1:9" ht="15" customHeight="1" x14ac:dyDescent="0.25">
      <c r="A556" s="2" t="s">
        <v>78</v>
      </c>
      <c r="B556" s="2" t="s">
        <v>145</v>
      </c>
      <c r="C556" s="2" t="s">
        <v>231</v>
      </c>
      <c r="D556" s="4">
        <v>42.485197589000002</v>
      </c>
      <c r="E556" s="3">
        <v>16.649999999999999</v>
      </c>
      <c r="F556" s="3">
        <v>707.38</v>
      </c>
      <c r="G556" s="3">
        <v>22.91</v>
      </c>
      <c r="H556" s="3">
        <v>-265.86</v>
      </c>
      <c r="I556" s="3">
        <v>973.24</v>
      </c>
    </row>
    <row r="557" spans="1:9" ht="15" customHeight="1" x14ac:dyDescent="0.25">
      <c r="A557" s="2" t="s">
        <v>78</v>
      </c>
      <c r="B557" s="2" t="s">
        <v>154</v>
      </c>
      <c r="C557" s="2" t="s">
        <v>155</v>
      </c>
      <c r="D557" s="4">
        <v>3.9542404680000001</v>
      </c>
      <c r="E557" s="3">
        <v>58.76</v>
      </c>
      <c r="F557" s="3">
        <v>232.35</v>
      </c>
      <c r="G557" s="3">
        <v>60.6</v>
      </c>
      <c r="H557" s="3">
        <v>-7.26</v>
      </c>
      <c r="I557" s="3">
        <v>239.61</v>
      </c>
    </row>
    <row r="558" spans="1:9" ht="15" customHeight="1" x14ac:dyDescent="0.25">
      <c r="A558" s="2" t="s">
        <v>78</v>
      </c>
      <c r="B558" s="2" t="s">
        <v>149</v>
      </c>
      <c r="C558" s="2" t="s">
        <v>150</v>
      </c>
      <c r="D558" s="4">
        <v>3.7018872780000001</v>
      </c>
      <c r="E558" s="3">
        <v>47.43</v>
      </c>
      <c r="F558" s="3">
        <v>175.57</v>
      </c>
      <c r="G558" s="3">
        <v>45.85</v>
      </c>
      <c r="H558" s="3">
        <v>5.84</v>
      </c>
      <c r="I558" s="3">
        <v>169.73</v>
      </c>
    </row>
    <row r="559" spans="1:9" ht="15" customHeight="1" x14ac:dyDescent="0.25">
      <c r="A559" s="2" t="s">
        <v>78</v>
      </c>
      <c r="B559" s="2" t="s">
        <v>129</v>
      </c>
      <c r="C559" s="2" t="s">
        <v>130</v>
      </c>
      <c r="D559" s="4">
        <v>49</v>
      </c>
      <c r="E559" s="3">
        <v>50.42</v>
      </c>
      <c r="F559" s="3">
        <v>2470.34</v>
      </c>
      <c r="G559" s="3">
        <v>50.24</v>
      </c>
      <c r="H559" s="3">
        <v>8.41</v>
      </c>
      <c r="I559" s="3">
        <v>2461.92</v>
      </c>
    </row>
    <row r="560" spans="1:9" ht="15" customHeight="1" x14ac:dyDescent="0.25">
      <c r="A560" s="2" t="s">
        <v>78</v>
      </c>
      <c r="B560" s="2" t="s">
        <v>175</v>
      </c>
      <c r="C560" s="2" t="s">
        <v>176</v>
      </c>
      <c r="D560" s="4">
        <v>3.5858065880000001</v>
      </c>
      <c r="E560" s="3">
        <v>156.71</v>
      </c>
      <c r="F560" s="3">
        <v>561.92999999999995</v>
      </c>
      <c r="G560" s="3">
        <v>67.94</v>
      </c>
      <c r="H560" s="3">
        <v>318.32</v>
      </c>
      <c r="I560" s="3">
        <v>243.61</v>
      </c>
    </row>
    <row r="561" spans="1:9" ht="15" customHeight="1" x14ac:dyDescent="0.25">
      <c r="A561" s="2" t="s">
        <v>78</v>
      </c>
      <c r="B561" s="2" t="s">
        <v>194</v>
      </c>
      <c r="C561" s="2" t="s">
        <v>232</v>
      </c>
      <c r="D561" s="4">
        <v>9</v>
      </c>
      <c r="E561" s="3">
        <v>60.63</v>
      </c>
      <c r="F561" s="3">
        <v>545.66999999999996</v>
      </c>
      <c r="G561" s="3">
        <v>70.69</v>
      </c>
      <c r="H561" s="3">
        <v>-90.5</v>
      </c>
      <c r="I561" s="3">
        <v>636.16999999999996</v>
      </c>
    </row>
    <row r="562" spans="1:9" ht="15" customHeight="1" x14ac:dyDescent="0.25">
      <c r="A562" s="2" t="s">
        <v>78</v>
      </c>
      <c r="B562" s="2" t="s">
        <v>233</v>
      </c>
      <c r="C562" s="2" t="s">
        <v>234</v>
      </c>
      <c r="D562" s="4">
        <v>2.7847254929999998</v>
      </c>
      <c r="E562" s="3">
        <v>48.6</v>
      </c>
      <c r="F562" s="3">
        <v>135.34</v>
      </c>
      <c r="G562" s="3">
        <v>48.4</v>
      </c>
      <c r="H562" s="3">
        <v>0.56000000000000005</v>
      </c>
      <c r="I562" s="3">
        <v>134.78</v>
      </c>
    </row>
    <row r="563" spans="1:9" ht="15" customHeight="1" x14ac:dyDescent="0.25">
      <c r="A563" s="2" t="s">
        <v>78</v>
      </c>
      <c r="B563" s="2" t="s">
        <v>213</v>
      </c>
      <c r="C563" s="2" t="s">
        <v>214</v>
      </c>
      <c r="D563" s="4">
        <v>8.4321536219999995</v>
      </c>
      <c r="E563" s="3">
        <v>27.92</v>
      </c>
      <c r="F563" s="3">
        <v>235.43</v>
      </c>
      <c r="G563" s="3">
        <v>26.99</v>
      </c>
      <c r="H563" s="3">
        <v>7.81</v>
      </c>
      <c r="I563" s="3">
        <v>227.61</v>
      </c>
    </row>
    <row r="564" spans="1:9" ht="15" customHeight="1" x14ac:dyDescent="0.25">
      <c r="A564" s="2" t="s">
        <v>78</v>
      </c>
      <c r="B564" s="2" t="s">
        <v>196</v>
      </c>
      <c r="C564" s="2" t="s">
        <v>197</v>
      </c>
      <c r="D564" s="4">
        <v>16.334693355999999</v>
      </c>
      <c r="E564" s="3">
        <v>24.08</v>
      </c>
      <c r="F564" s="3">
        <v>393.34</v>
      </c>
      <c r="G564" s="3">
        <v>22.27</v>
      </c>
      <c r="H564" s="3">
        <v>29.62</v>
      </c>
      <c r="I564" s="3">
        <v>363.72</v>
      </c>
    </row>
    <row r="565" spans="1:9" ht="15" customHeight="1" x14ac:dyDescent="0.25">
      <c r="A565" s="2" t="s">
        <v>78</v>
      </c>
      <c r="B565" s="2" t="s">
        <v>119</v>
      </c>
      <c r="C565" s="2" t="s">
        <v>120</v>
      </c>
      <c r="D565" s="4">
        <v>45.588122087999999</v>
      </c>
      <c r="E565" s="3">
        <v>100.74</v>
      </c>
      <c r="F565" s="3">
        <v>4592.55</v>
      </c>
      <c r="G565" s="3">
        <v>100.31</v>
      </c>
      <c r="H565" s="3">
        <v>19.59</v>
      </c>
      <c r="I565" s="3">
        <v>4572.95</v>
      </c>
    </row>
    <row r="566" spans="1:9" ht="15" customHeight="1" x14ac:dyDescent="0.25">
      <c r="A566" s="2" t="s">
        <v>78</v>
      </c>
      <c r="B566" s="2" t="s">
        <v>115</v>
      </c>
      <c r="C566" s="2" t="s">
        <v>116</v>
      </c>
      <c r="D566" s="4">
        <v>58.503667532000001</v>
      </c>
      <c r="E566" s="3">
        <v>110.49</v>
      </c>
      <c r="F566" s="3">
        <v>6464.07</v>
      </c>
      <c r="G566" s="3">
        <v>110.07</v>
      </c>
      <c r="H566" s="3">
        <v>24.4</v>
      </c>
      <c r="I566" s="3">
        <v>6439.67</v>
      </c>
    </row>
    <row r="567" spans="1:9" ht="15" customHeight="1" x14ac:dyDescent="0.25">
      <c r="A567" s="2" t="s">
        <v>78</v>
      </c>
      <c r="B567" s="2" t="s">
        <v>181</v>
      </c>
      <c r="C567" s="2" t="s">
        <v>182</v>
      </c>
      <c r="D567" s="4">
        <v>9.5861616040000008</v>
      </c>
      <c r="E567" s="3">
        <v>23.64</v>
      </c>
      <c r="F567" s="3">
        <v>226.62</v>
      </c>
      <c r="G567" s="3">
        <v>26.04</v>
      </c>
      <c r="H567" s="3">
        <v>-22.98</v>
      </c>
      <c r="I567" s="3">
        <v>249.6</v>
      </c>
    </row>
    <row r="568" spans="1:9" ht="15" customHeight="1" x14ac:dyDescent="0.25">
      <c r="A568" s="2" t="s">
        <v>78</v>
      </c>
      <c r="B568" s="2" t="s">
        <v>162</v>
      </c>
      <c r="C568" s="2" t="s">
        <v>189</v>
      </c>
      <c r="D568" s="4">
        <v>41.468695797999999</v>
      </c>
      <c r="E568" s="3">
        <v>25.54</v>
      </c>
      <c r="F568" s="3">
        <v>1059.1099999999999</v>
      </c>
      <c r="G568" s="3">
        <v>25.28</v>
      </c>
      <c r="H568" s="3">
        <v>10.98</v>
      </c>
      <c r="I568" s="3">
        <v>1048.1300000000001</v>
      </c>
    </row>
    <row r="569" spans="1:9" ht="15" customHeight="1" x14ac:dyDescent="0.25">
      <c r="A569" s="2" t="s">
        <v>78</v>
      </c>
      <c r="B569" s="2" t="s">
        <v>222</v>
      </c>
      <c r="C569" s="2" t="s">
        <v>223</v>
      </c>
      <c r="D569" s="4">
        <v>13.370193596</v>
      </c>
      <c r="E569" s="3">
        <v>4.33</v>
      </c>
      <c r="F569" s="3">
        <v>57.89</v>
      </c>
      <c r="G569" s="3">
        <v>3.73</v>
      </c>
      <c r="H569" s="3">
        <v>8.0299999999999994</v>
      </c>
      <c r="I569" s="3">
        <v>49.86</v>
      </c>
    </row>
    <row r="570" spans="1:9" ht="15" customHeight="1" x14ac:dyDescent="0.25">
      <c r="A570" s="2" t="s">
        <v>78</v>
      </c>
      <c r="B570" s="2" t="s">
        <v>177</v>
      </c>
      <c r="C570" s="2" t="s">
        <v>178</v>
      </c>
      <c r="D570" s="4">
        <v>1.061371047</v>
      </c>
      <c r="E570" s="3">
        <v>230.87</v>
      </c>
      <c r="F570" s="3">
        <v>245.04</v>
      </c>
      <c r="G570" s="3">
        <v>209.15</v>
      </c>
      <c r="H570" s="3">
        <v>23.05</v>
      </c>
      <c r="I570" s="3">
        <v>221.99</v>
      </c>
    </row>
    <row r="571" spans="1:9" ht="15" customHeight="1" x14ac:dyDescent="0.25">
      <c r="A571" s="2" t="s">
        <v>78</v>
      </c>
      <c r="B571" s="2" t="s">
        <v>235</v>
      </c>
      <c r="C571" s="2" t="s">
        <v>236</v>
      </c>
      <c r="D571" s="4">
        <v>0.64805078400000005</v>
      </c>
      <c r="E571" s="3">
        <v>309.87</v>
      </c>
      <c r="F571" s="3">
        <v>200.81</v>
      </c>
      <c r="G571" s="3">
        <v>308.12</v>
      </c>
      <c r="H571" s="3">
        <v>1.1299999999999999</v>
      </c>
      <c r="I571" s="3">
        <v>199.68</v>
      </c>
    </row>
    <row r="572" spans="1:9" ht="15" customHeight="1" x14ac:dyDescent="0.25">
      <c r="A572" s="2" t="s">
        <v>78</v>
      </c>
      <c r="B572" s="2" t="s">
        <v>190</v>
      </c>
      <c r="C572" s="2" t="s">
        <v>191</v>
      </c>
      <c r="D572" s="4">
        <v>18</v>
      </c>
      <c r="E572" s="3">
        <v>26.66</v>
      </c>
      <c r="F572" s="3">
        <v>479.88</v>
      </c>
      <c r="G572" s="3">
        <v>25.17</v>
      </c>
      <c r="H572" s="3">
        <v>26.89</v>
      </c>
      <c r="I572" s="3">
        <v>452.99</v>
      </c>
    </row>
    <row r="573" spans="1:9" ht="15" customHeight="1" x14ac:dyDescent="0.25">
      <c r="A573" s="2" t="s">
        <v>78</v>
      </c>
      <c r="B573" s="2" t="s">
        <v>136</v>
      </c>
      <c r="C573" s="2" t="s">
        <v>151</v>
      </c>
      <c r="D573" s="4">
        <v>55.221300822000003</v>
      </c>
      <c r="E573" s="3">
        <v>25.1</v>
      </c>
      <c r="F573" s="3">
        <v>1385.78</v>
      </c>
      <c r="G573" s="3">
        <v>25.08</v>
      </c>
      <c r="H573" s="3">
        <v>0.89</v>
      </c>
      <c r="I573" s="3">
        <v>1384.89</v>
      </c>
    </row>
    <row r="574" spans="1:9" ht="15" customHeight="1" x14ac:dyDescent="0.25">
      <c r="A574" s="2" t="s">
        <v>78</v>
      </c>
      <c r="B574" s="2" t="s">
        <v>164</v>
      </c>
      <c r="C574" s="2" t="s">
        <v>237</v>
      </c>
      <c r="D574" s="4">
        <v>32.707712825999998</v>
      </c>
      <c r="E574" s="3">
        <v>12.71</v>
      </c>
      <c r="F574" s="3">
        <v>415.72</v>
      </c>
      <c r="G574" s="3">
        <v>17.149999999999999</v>
      </c>
      <c r="H574" s="3">
        <v>-145.09</v>
      </c>
      <c r="I574" s="3">
        <v>560.79999999999995</v>
      </c>
    </row>
    <row r="575" spans="1:9" ht="15" customHeight="1" x14ac:dyDescent="0.25">
      <c r="A575" s="2" t="s">
        <v>80</v>
      </c>
      <c r="B575" s="2" t="s">
        <v>104</v>
      </c>
      <c r="C575" s="2" t="s">
        <v>105</v>
      </c>
      <c r="D575" s="4" t="s">
        <v>106</v>
      </c>
      <c r="E575" s="3"/>
      <c r="F575" s="3">
        <v>625.99</v>
      </c>
      <c r="G575" s="3"/>
      <c r="H575" s="3"/>
      <c r="I575" s="3"/>
    </row>
    <row r="576" spans="1:9" ht="15" customHeight="1" x14ac:dyDescent="0.25">
      <c r="A576" s="2" t="s">
        <v>80</v>
      </c>
      <c r="B576" s="2" t="s">
        <v>192</v>
      </c>
      <c r="C576" s="2" t="s">
        <v>193</v>
      </c>
      <c r="D576" s="4">
        <v>2.7978783599999999</v>
      </c>
      <c r="E576" s="3">
        <v>49.39</v>
      </c>
      <c r="F576" s="3">
        <v>138.19</v>
      </c>
      <c r="G576" s="3">
        <v>41.71</v>
      </c>
      <c r="H576" s="3">
        <v>21.49</v>
      </c>
      <c r="I576" s="3">
        <v>116.7</v>
      </c>
    </row>
    <row r="577" spans="1:9" ht="15" customHeight="1" x14ac:dyDescent="0.25">
      <c r="A577" s="2" t="s">
        <v>80</v>
      </c>
      <c r="B577" s="2" t="s">
        <v>215</v>
      </c>
      <c r="C577" s="2" t="s">
        <v>180</v>
      </c>
      <c r="D577" s="4">
        <v>21</v>
      </c>
      <c r="E577" s="3">
        <v>28.55</v>
      </c>
      <c r="F577" s="3">
        <v>599.46</v>
      </c>
      <c r="G577" s="3">
        <v>29.27</v>
      </c>
      <c r="H577" s="3">
        <v>-15.24</v>
      </c>
      <c r="I577" s="3">
        <v>614.70000000000005</v>
      </c>
    </row>
    <row r="578" spans="1:9" ht="15" customHeight="1" x14ac:dyDescent="0.25">
      <c r="A578" s="2" t="s">
        <v>80</v>
      </c>
      <c r="B578" s="2" t="s">
        <v>111</v>
      </c>
      <c r="C578" s="2" t="s">
        <v>131</v>
      </c>
      <c r="D578" s="4">
        <v>1.4759498200000001</v>
      </c>
      <c r="E578" s="3">
        <v>141.49</v>
      </c>
      <c r="F578" s="3">
        <v>208.83</v>
      </c>
      <c r="G578" s="3">
        <v>117.96</v>
      </c>
      <c r="H578" s="3">
        <v>34.72</v>
      </c>
      <c r="I578" s="3">
        <v>174.11</v>
      </c>
    </row>
    <row r="579" spans="1:9" ht="15" customHeight="1" x14ac:dyDescent="0.25">
      <c r="A579" s="2" t="s">
        <v>80</v>
      </c>
      <c r="B579" s="2" t="s">
        <v>183</v>
      </c>
      <c r="C579" s="2" t="s">
        <v>184</v>
      </c>
      <c r="D579" s="4">
        <v>14.585929760999999</v>
      </c>
      <c r="E579" s="3">
        <v>26.82</v>
      </c>
      <c r="F579" s="3">
        <v>391.19</v>
      </c>
      <c r="G579" s="3">
        <v>26.71</v>
      </c>
      <c r="H579" s="3">
        <v>1.56</v>
      </c>
      <c r="I579" s="3">
        <v>389.64</v>
      </c>
    </row>
    <row r="580" spans="1:9" ht="15" customHeight="1" x14ac:dyDescent="0.25">
      <c r="A580" s="2" t="s">
        <v>80</v>
      </c>
      <c r="B580" s="2" t="s">
        <v>140</v>
      </c>
      <c r="C580" s="2" t="s">
        <v>224</v>
      </c>
      <c r="D580" s="4">
        <v>107.59141935300001</v>
      </c>
      <c r="E580" s="3">
        <v>6.88</v>
      </c>
      <c r="F580" s="3">
        <v>740.23</v>
      </c>
      <c r="G580" s="3">
        <v>13.04</v>
      </c>
      <c r="H580" s="3">
        <v>-662.39</v>
      </c>
      <c r="I580" s="3">
        <v>1402.62</v>
      </c>
    </row>
    <row r="581" spans="1:9" ht="15" customHeight="1" x14ac:dyDescent="0.25">
      <c r="A581" s="2" t="s">
        <v>80</v>
      </c>
      <c r="B581" s="2" t="s">
        <v>225</v>
      </c>
      <c r="C581" s="2" t="s">
        <v>226</v>
      </c>
      <c r="D581" s="4">
        <v>7.08266113</v>
      </c>
      <c r="E581" s="3">
        <v>29.69</v>
      </c>
      <c r="F581" s="3">
        <v>210.28</v>
      </c>
      <c r="G581" s="3">
        <v>29.88</v>
      </c>
      <c r="H581" s="3">
        <v>-1.37</v>
      </c>
      <c r="I581" s="3">
        <v>211.65</v>
      </c>
    </row>
    <row r="582" spans="1:9" ht="15" customHeight="1" x14ac:dyDescent="0.25">
      <c r="A582" s="2" t="s">
        <v>80</v>
      </c>
      <c r="B582" s="2" t="s">
        <v>158</v>
      </c>
      <c r="C582" s="2" t="s">
        <v>227</v>
      </c>
      <c r="D582" s="4">
        <v>16.087227873</v>
      </c>
      <c r="E582" s="3">
        <v>15.72</v>
      </c>
      <c r="F582" s="3">
        <v>252.89</v>
      </c>
      <c r="G582" s="3">
        <v>19</v>
      </c>
      <c r="H582" s="3">
        <v>-52.74</v>
      </c>
      <c r="I582" s="3">
        <v>305.63</v>
      </c>
    </row>
    <row r="583" spans="1:9" ht="15" customHeight="1" x14ac:dyDescent="0.25">
      <c r="A583" s="2" t="s">
        <v>80</v>
      </c>
      <c r="B583" s="2" t="s">
        <v>204</v>
      </c>
      <c r="C583" s="2" t="s">
        <v>205</v>
      </c>
      <c r="D583" s="4">
        <v>34</v>
      </c>
      <c r="E583" s="3">
        <v>2.98</v>
      </c>
      <c r="F583" s="3">
        <v>101.32</v>
      </c>
      <c r="G583" s="3">
        <v>6.44</v>
      </c>
      <c r="H583" s="3">
        <v>-117.77</v>
      </c>
      <c r="I583" s="3">
        <v>219.09</v>
      </c>
    </row>
    <row r="584" spans="1:9" ht="15" customHeight="1" x14ac:dyDescent="0.25">
      <c r="A584" s="2" t="s">
        <v>80</v>
      </c>
      <c r="B584" s="2" t="s">
        <v>166</v>
      </c>
      <c r="C584" s="2" t="s">
        <v>167</v>
      </c>
      <c r="D584" s="4">
        <v>12.210551603000001</v>
      </c>
      <c r="E584" s="3">
        <v>51.09</v>
      </c>
      <c r="F584" s="3">
        <v>623.78</v>
      </c>
      <c r="G584" s="3">
        <v>50.83</v>
      </c>
      <c r="H584" s="3">
        <v>3.08</v>
      </c>
      <c r="I584" s="3">
        <v>620.70000000000005</v>
      </c>
    </row>
    <row r="585" spans="1:9" ht="15" customHeight="1" x14ac:dyDescent="0.25">
      <c r="A585" s="2" t="s">
        <v>80</v>
      </c>
      <c r="B585" s="2" t="s">
        <v>170</v>
      </c>
      <c r="C585" s="2" t="s">
        <v>228</v>
      </c>
      <c r="D585" s="4">
        <v>11.637505959</v>
      </c>
      <c r="E585" s="3">
        <v>47.39</v>
      </c>
      <c r="F585" s="3">
        <v>551.5</v>
      </c>
      <c r="G585" s="3">
        <v>47.45</v>
      </c>
      <c r="H585" s="3">
        <v>-0.73</v>
      </c>
      <c r="I585" s="3">
        <v>552.23</v>
      </c>
    </row>
    <row r="586" spans="1:9" ht="15" customHeight="1" x14ac:dyDescent="0.25">
      <c r="A586" s="2" t="s">
        <v>80</v>
      </c>
      <c r="B586" s="2" t="s">
        <v>127</v>
      </c>
      <c r="C586" s="2" t="s">
        <v>128</v>
      </c>
      <c r="D586" s="4">
        <v>122.538758186</v>
      </c>
      <c r="E586" s="3">
        <v>25.57</v>
      </c>
      <c r="F586" s="3">
        <v>3133.32</v>
      </c>
      <c r="G586" s="3">
        <v>25.4</v>
      </c>
      <c r="H586" s="3">
        <v>21.29</v>
      </c>
      <c r="I586" s="3">
        <v>3112.02</v>
      </c>
    </row>
    <row r="587" spans="1:9" ht="15" customHeight="1" x14ac:dyDescent="0.25">
      <c r="A587" s="2" t="s">
        <v>80</v>
      </c>
      <c r="B587" s="2" t="s">
        <v>132</v>
      </c>
      <c r="C587" s="2" t="s">
        <v>229</v>
      </c>
      <c r="D587" s="4">
        <v>65</v>
      </c>
      <c r="E587" s="3">
        <v>14.15</v>
      </c>
      <c r="F587" s="3">
        <v>919.75</v>
      </c>
      <c r="G587" s="3">
        <v>15.37</v>
      </c>
      <c r="H587" s="3">
        <v>-79.349999999999994</v>
      </c>
      <c r="I587" s="3">
        <v>999.1</v>
      </c>
    </row>
    <row r="588" spans="1:9" ht="15" customHeight="1" x14ac:dyDescent="0.25">
      <c r="A588" s="2" t="s">
        <v>80</v>
      </c>
      <c r="B588" s="2" t="s">
        <v>216</v>
      </c>
      <c r="C588" s="2" t="s">
        <v>217</v>
      </c>
      <c r="D588" s="4">
        <v>1.3964005960000001</v>
      </c>
      <c r="E588" s="3">
        <v>24.56</v>
      </c>
      <c r="F588" s="3">
        <v>34.299999999999997</v>
      </c>
      <c r="G588" s="3">
        <v>21.45</v>
      </c>
      <c r="H588" s="3">
        <v>4.3499999999999996</v>
      </c>
      <c r="I588" s="3">
        <v>29.95</v>
      </c>
    </row>
    <row r="589" spans="1:9" ht="15" customHeight="1" x14ac:dyDescent="0.25">
      <c r="A589" s="2" t="s">
        <v>80</v>
      </c>
      <c r="B589" s="2" t="s">
        <v>134</v>
      </c>
      <c r="C589" s="2" t="s">
        <v>142</v>
      </c>
      <c r="D589" s="4">
        <v>79.549699883000002</v>
      </c>
      <c r="E589" s="3">
        <v>25.61</v>
      </c>
      <c r="F589" s="3">
        <v>2037.27</v>
      </c>
      <c r="G589" s="3">
        <v>25.62</v>
      </c>
      <c r="H589" s="3">
        <v>-1.04</v>
      </c>
      <c r="I589" s="3">
        <v>2038.31</v>
      </c>
    </row>
    <row r="590" spans="1:9" ht="15" customHeight="1" x14ac:dyDescent="0.25">
      <c r="A590" s="2" t="s">
        <v>80</v>
      </c>
      <c r="B590" s="2" t="s">
        <v>143</v>
      </c>
      <c r="C590" s="2" t="s">
        <v>144</v>
      </c>
      <c r="D590" s="4">
        <v>53.654127191000001</v>
      </c>
      <c r="E590" s="3">
        <v>50.78</v>
      </c>
      <c r="F590" s="3">
        <v>2724.56</v>
      </c>
      <c r="G590" s="3">
        <v>50.68</v>
      </c>
      <c r="H590" s="3">
        <v>5.39</v>
      </c>
      <c r="I590" s="3">
        <v>2719.17</v>
      </c>
    </row>
    <row r="591" spans="1:9" ht="15" customHeight="1" x14ac:dyDescent="0.25">
      <c r="A591" s="2" t="s">
        <v>80</v>
      </c>
      <c r="B591" s="2" t="s">
        <v>185</v>
      </c>
      <c r="C591" s="2" t="s">
        <v>186</v>
      </c>
      <c r="D591" s="4">
        <v>3.2745714709999998</v>
      </c>
      <c r="E591" s="3">
        <v>48.17</v>
      </c>
      <c r="F591" s="3">
        <v>157.74</v>
      </c>
      <c r="G591" s="3">
        <v>48.26</v>
      </c>
      <c r="H591" s="3">
        <v>-0.28000000000000003</v>
      </c>
      <c r="I591" s="3">
        <v>158.02000000000001</v>
      </c>
    </row>
    <row r="592" spans="1:9" ht="15" customHeight="1" x14ac:dyDescent="0.25">
      <c r="A592" s="2" t="s">
        <v>80</v>
      </c>
      <c r="B592" s="2" t="s">
        <v>218</v>
      </c>
      <c r="C592" s="2" t="s">
        <v>219</v>
      </c>
      <c r="D592" s="4">
        <v>6.2393155340000002</v>
      </c>
      <c r="E592" s="3">
        <v>57.52</v>
      </c>
      <c r="F592" s="3">
        <v>358.89</v>
      </c>
      <c r="G592" s="3">
        <v>54.48</v>
      </c>
      <c r="H592" s="3">
        <v>18.96</v>
      </c>
      <c r="I592" s="3">
        <v>339.93</v>
      </c>
    </row>
    <row r="593" spans="1:9" ht="15" customHeight="1" x14ac:dyDescent="0.25">
      <c r="A593" s="2" t="s">
        <v>80</v>
      </c>
      <c r="B593" s="2" t="s">
        <v>121</v>
      </c>
      <c r="C593" s="2" t="s">
        <v>172</v>
      </c>
      <c r="D593" s="4">
        <v>39.806637678000001</v>
      </c>
      <c r="E593" s="3">
        <v>32.9</v>
      </c>
      <c r="F593" s="3">
        <v>1309.6400000000001</v>
      </c>
      <c r="G593" s="3">
        <v>38.869999999999997</v>
      </c>
      <c r="H593" s="3">
        <v>-237.8</v>
      </c>
      <c r="I593" s="3">
        <v>1547.44</v>
      </c>
    </row>
    <row r="594" spans="1:9" ht="15" customHeight="1" x14ac:dyDescent="0.25">
      <c r="A594" s="2" t="s">
        <v>80</v>
      </c>
      <c r="B594" s="2" t="s">
        <v>173</v>
      </c>
      <c r="C594" s="2" t="s">
        <v>174</v>
      </c>
      <c r="D594" s="4">
        <v>3.147079266</v>
      </c>
      <c r="E594" s="3">
        <v>66.319999999999993</v>
      </c>
      <c r="F594" s="3">
        <v>208.71</v>
      </c>
      <c r="G594" s="3">
        <v>63.45</v>
      </c>
      <c r="H594" s="3">
        <v>9.0399999999999991</v>
      </c>
      <c r="I594" s="3">
        <v>199.68</v>
      </c>
    </row>
    <row r="595" spans="1:9" ht="15" customHeight="1" x14ac:dyDescent="0.25">
      <c r="A595" s="2" t="s">
        <v>80</v>
      </c>
      <c r="B595" s="2" t="s">
        <v>220</v>
      </c>
      <c r="C595" s="2" t="s">
        <v>221</v>
      </c>
      <c r="D595" s="4">
        <v>6.3424902000000005E-2</v>
      </c>
      <c r="E595" s="3">
        <v>499.21</v>
      </c>
      <c r="F595" s="3">
        <v>31.66</v>
      </c>
      <c r="G595" s="3">
        <v>472.21</v>
      </c>
      <c r="H595" s="3">
        <v>1.71</v>
      </c>
      <c r="I595" s="3">
        <v>29.95</v>
      </c>
    </row>
    <row r="596" spans="1:9" ht="15" customHeight="1" x14ac:dyDescent="0.25">
      <c r="A596" s="2" t="s">
        <v>80</v>
      </c>
      <c r="B596" s="2" t="s">
        <v>206</v>
      </c>
      <c r="C596" s="2" t="s">
        <v>207</v>
      </c>
      <c r="D596" s="4">
        <v>1.2524052530000001</v>
      </c>
      <c r="E596" s="3">
        <v>21.78</v>
      </c>
      <c r="F596" s="3">
        <v>27.28</v>
      </c>
      <c r="G596" s="3">
        <v>23.91</v>
      </c>
      <c r="H596" s="3">
        <v>-2.66</v>
      </c>
      <c r="I596" s="3">
        <v>29.94</v>
      </c>
    </row>
    <row r="597" spans="1:9" ht="15" customHeight="1" x14ac:dyDescent="0.25">
      <c r="A597" s="2" t="s">
        <v>80</v>
      </c>
      <c r="B597" s="2" t="s">
        <v>179</v>
      </c>
      <c r="C597" s="2" t="s">
        <v>180</v>
      </c>
      <c r="D597" s="4">
        <v>32</v>
      </c>
      <c r="E597" s="3">
        <v>27.22</v>
      </c>
      <c r="F597" s="3">
        <v>871</v>
      </c>
      <c r="G597" s="3">
        <v>24.29</v>
      </c>
      <c r="H597" s="3">
        <v>93.63</v>
      </c>
      <c r="I597" s="3">
        <v>777.37</v>
      </c>
    </row>
    <row r="598" spans="1:9" ht="15" customHeight="1" x14ac:dyDescent="0.25">
      <c r="A598" s="2" t="s">
        <v>80</v>
      </c>
      <c r="B598" s="2" t="s">
        <v>152</v>
      </c>
      <c r="C598" s="2" t="s">
        <v>230</v>
      </c>
      <c r="D598" s="4">
        <v>38.104150953999998</v>
      </c>
      <c r="E598" s="3">
        <v>13.96</v>
      </c>
      <c r="F598" s="3">
        <v>531.92999999999995</v>
      </c>
      <c r="G598" s="3">
        <v>26.01</v>
      </c>
      <c r="H598" s="3">
        <v>-459.24</v>
      </c>
      <c r="I598" s="3">
        <v>991.17</v>
      </c>
    </row>
    <row r="599" spans="1:9" ht="15" customHeight="1" x14ac:dyDescent="0.25">
      <c r="A599" s="2" t="s">
        <v>80</v>
      </c>
      <c r="B599" s="2" t="s">
        <v>113</v>
      </c>
      <c r="C599" s="2" t="s">
        <v>114</v>
      </c>
      <c r="D599" s="4">
        <v>2.9389128389999999</v>
      </c>
      <c r="E599" s="3">
        <v>88.45</v>
      </c>
      <c r="F599" s="3">
        <v>259.95</v>
      </c>
      <c r="G599" s="3">
        <v>69.989999999999995</v>
      </c>
      <c r="H599" s="3">
        <v>54.27</v>
      </c>
      <c r="I599" s="3">
        <v>205.68</v>
      </c>
    </row>
    <row r="600" spans="1:9" ht="15" customHeight="1" x14ac:dyDescent="0.25">
      <c r="A600" s="2" t="s">
        <v>80</v>
      </c>
      <c r="B600" s="2" t="s">
        <v>145</v>
      </c>
      <c r="C600" s="2" t="s">
        <v>231</v>
      </c>
      <c r="D600" s="4">
        <v>42.485197589000002</v>
      </c>
      <c r="E600" s="3">
        <v>16.8</v>
      </c>
      <c r="F600" s="3">
        <v>713.75</v>
      </c>
      <c r="G600" s="3">
        <v>22.91</v>
      </c>
      <c r="H600" s="3">
        <v>-259.49</v>
      </c>
      <c r="I600" s="3">
        <v>973.24</v>
      </c>
    </row>
    <row r="601" spans="1:9" ht="15" customHeight="1" x14ac:dyDescent="0.25">
      <c r="A601" s="2" t="s">
        <v>80</v>
      </c>
      <c r="B601" s="2" t="s">
        <v>154</v>
      </c>
      <c r="C601" s="2" t="s">
        <v>155</v>
      </c>
      <c r="D601" s="4">
        <v>3.9542404680000001</v>
      </c>
      <c r="E601" s="3">
        <v>60.79</v>
      </c>
      <c r="F601" s="3">
        <v>240.38</v>
      </c>
      <c r="G601" s="3">
        <v>60.6</v>
      </c>
      <c r="H601" s="3">
        <v>0.77</v>
      </c>
      <c r="I601" s="3">
        <v>239.61</v>
      </c>
    </row>
    <row r="602" spans="1:9" ht="15" customHeight="1" x14ac:dyDescent="0.25">
      <c r="A602" s="2" t="s">
        <v>80</v>
      </c>
      <c r="B602" s="2" t="s">
        <v>149</v>
      </c>
      <c r="C602" s="2" t="s">
        <v>150</v>
      </c>
      <c r="D602" s="4">
        <v>3.7018872780000001</v>
      </c>
      <c r="E602" s="3">
        <v>45.86</v>
      </c>
      <c r="F602" s="3">
        <v>169.77</v>
      </c>
      <c r="G602" s="3">
        <v>45.85</v>
      </c>
      <c r="H602" s="3">
        <v>0.04</v>
      </c>
      <c r="I602" s="3">
        <v>169.73</v>
      </c>
    </row>
    <row r="603" spans="1:9" ht="15" customHeight="1" x14ac:dyDescent="0.25">
      <c r="A603" s="2" t="s">
        <v>80</v>
      </c>
      <c r="B603" s="2" t="s">
        <v>129</v>
      </c>
      <c r="C603" s="2" t="s">
        <v>130</v>
      </c>
      <c r="D603" s="4">
        <v>49</v>
      </c>
      <c r="E603" s="3">
        <v>50.13</v>
      </c>
      <c r="F603" s="3">
        <v>2456.37</v>
      </c>
      <c r="G603" s="3">
        <v>50.24</v>
      </c>
      <c r="H603" s="3">
        <v>-5.55</v>
      </c>
      <c r="I603" s="3">
        <v>2461.92</v>
      </c>
    </row>
    <row r="604" spans="1:9" ht="15" customHeight="1" x14ac:dyDescent="0.25">
      <c r="A604" s="2" t="s">
        <v>80</v>
      </c>
      <c r="B604" s="2" t="s">
        <v>175</v>
      </c>
      <c r="C604" s="2" t="s">
        <v>176</v>
      </c>
      <c r="D604" s="4">
        <v>3.5858065880000001</v>
      </c>
      <c r="E604" s="3">
        <v>182.42</v>
      </c>
      <c r="F604" s="3">
        <v>654.12</v>
      </c>
      <c r="G604" s="3">
        <v>67.94</v>
      </c>
      <c r="H604" s="3">
        <v>410.51</v>
      </c>
      <c r="I604" s="3">
        <v>243.61</v>
      </c>
    </row>
    <row r="605" spans="1:9" ht="15" customHeight="1" x14ac:dyDescent="0.25">
      <c r="A605" s="2" t="s">
        <v>80</v>
      </c>
      <c r="B605" s="2" t="s">
        <v>194</v>
      </c>
      <c r="C605" s="2" t="s">
        <v>232</v>
      </c>
      <c r="D605" s="4">
        <v>9</v>
      </c>
      <c r="E605" s="3">
        <v>65.27</v>
      </c>
      <c r="F605" s="3">
        <v>587.42999999999995</v>
      </c>
      <c r="G605" s="3">
        <v>70.69</v>
      </c>
      <c r="H605" s="3">
        <v>-48.74</v>
      </c>
      <c r="I605" s="3">
        <v>636.16999999999996</v>
      </c>
    </row>
    <row r="606" spans="1:9" ht="15" customHeight="1" x14ac:dyDescent="0.25">
      <c r="A606" s="2" t="s">
        <v>80</v>
      </c>
      <c r="B606" s="2" t="s">
        <v>233</v>
      </c>
      <c r="C606" s="2" t="s">
        <v>234</v>
      </c>
      <c r="D606" s="4">
        <v>2.7847254929999998</v>
      </c>
      <c r="E606" s="3">
        <v>47.91</v>
      </c>
      <c r="F606" s="3">
        <v>133.41999999999999</v>
      </c>
      <c r="G606" s="3">
        <v>48.4</v>
      </c>
      <c r="H606" s="3">
        <v>-1.36</v>
      </c>
      <c r="I606" s="3">
        <v>134.78</v>
      </c>
    </row>
    <row r="607" spans="1:9" ht="15" customHeight="1" x14ac:dyDescent="0.25">
      <c r="A607" s="2" t="s">
        <v>80</v>
      </c>
      <c r="B607" s="2" t="s">
        <v>213</v>
      </c>
      <c r="C607" s="2" t="s">
        <v>214</v>
      </c>
      <c r="D607" s="4">
        <v>12.130384754</v>
      </c>
      <c r="E607" s="3">
        <v>27.3</v>
      </c>
      <c r="F607" s="3">
        <v>331.16</v>
      </c>
      <c r="G607" s="3">
        <v>27.01</v>
      </c>
      <c r="H607" s="3">
        <v>3.55</v>
      </c>
      <c r="I607" s="3">
        <v>327.61</v>
      </c>
    </row>
    <row r="608" spans="1:9" ht="15" customHeight="1" x14ac:dyDescent="0.25">
      <c r="A608" s="2" t="s">
        <v>80</v>
      </c>
      <c r="B608" s="2" t="s">
        <v>196</v>
      </c>
      <c r="C608" s="2" t="s">
        <v>197</v>
      </c>
      <c r="D608" s="4">
        <v>16.334693355999999</v>
      </c>
      <c r="E608" s="3">
        <v>23.98</v>
      </c>
      <c r="F608" s="3">
        <v>391.71</v>
      </c>
      <c r="G608" s="3">
        <v>22.27</v>
      </c>
      <c r="H608" s="3">
        <v>27.98</v>
      </c>
      <c r="I608" s="3">
        <v>363.72</v>
      </c>
    </row>
    <row r="609" spans="1:9" ht="15" customHeight="1" x14ac:dyDescent="0.25">
      <c r="A609" s="2" t="s">
        <v>80</v>
      </c>
      <c r="B609" s="2" t="s">
        <v>119</v>
      </c>
      <c r="C609" s="2" t="s">
        <v>120</v>
      </c>
      <c r="D609" s="4">
        <v>45.588122087999999</v>
      </c>
      <c r="E609" s="3">
        <v>100.7</v>
      </c>
      <c r="F609" s="3">
        <v>4590.72</v>
      </c>
      <c r="G609" s="3">
        <v>100.31</v>
      </c>
      <c r="H609" s="3">
        <v>17.77</v>
      </c>
      <c r="I609" s="3">
        <v>4572.95</v>
      </c>
    </row>
    <row r="610" spans="1:9" ht="15" customHeight="1" x14ac:dyDescent="0.25">
      <c r="A610" s="2" t="s">
        <v>80</v>
      </c>
      <c r="B610" s="2" t="s">
        <v>115</v>
      </c>
      <c r="C610" s="2" t="s">
        <v>116</v>
      </c>
      <c r="D610" s="4">
        <v>58.503667532000001</v>
      </c>
      <c r="E610" s="3">
        <v>110.49</v>
      </c>
      <c r="F610" s="3">
        <v>6464.07</v>
      </c>
      <c r="G610" s="3">
        <v>110.07</v>
      </c>
      <c r="H610" s="3">
        <v>24.4</v>
      </c>
      <c r="I610" s="3">
        <v>6439.67</v>
      </c>
    </row>
    <row r="611" spans="1:9" ht="15" customHeight="1" x14ac:dyDescent="0.25">
      <c r="A611" s="2" t="s">
        <v>80</v>
      </c>
      <c r="B611" s="2" t="s">
        <v>181</v>
      </c>
      <c r="C611" s="2" t="s">
        <v>182</v>
      </c>
      <c r="D611" s="4">
        <v>9.5861616040000008</v>
      </c>
      <c r="E611" s="3">
        <v>23.28</v>
      </c>
      <c r="F611" s="3">
        <v>223.12</v>
      </c>
      <c r="G611" s="3">
        <v>26.04</v>
      </c>
      <c r="H611" s="3">
        <v>-26.48</v>
      </c>
      <c r="I611" s="3">
        <v>249.6</v>
      </c>
    </row>
    <row r="612" spans="1:9" ht="15" customHeight="1" x14ac:dyDescent="0.25">
      <c r="A612" s="2" t="s">
        <v>80</v>
      </c>
      <c r="B612" s="2" t="s">
        <v>162</v>
      </c>
      <c r="C612" s="2" t="s">
        <v>189</v>
      </c>
      <c r="D612" s="4">
        <v>41.468695797999999</v>
      </c>
      <c r="E612" s="3">
        <v>25.6</v>
      </c>
      <c r="F612" s="3">
        <v>1061.5999999999999</v>
      </c>
      <c r="G612" s="3">
        <v>25.28</v>
      </c>
      <c r="H612" s="3">
        <v>13.47</v>
      </c>
      <c r="I612" s="3">
        <v>1048.1300000000001</v>
      </c>
    </row>
    <row r="613" spans="1:9" ht="15" customHeight="1" x14ac:dyDescent="0.25">
      <c r="A613" s="2" t="s">
        <v>80</v>
      </c>
      <c r="B613" s="2" t="s">
        <v>222</v>
      </c>
      <c r="C613" s="2" t="s">
        <v>223</v>
      </c>
      <c r="D613" s="4">
        <v>13.370193596</v>
      </c>
      <c r="E613" s="3">
        <v>3.47</v>
      </c>
      <c r="F613" s="3">
        <v>46.39</v>
      </c>
      <c r="G613" s="3">
        <v>3.73</v>
      </c>
      <c r="H613" s="3">
        <v>-3.47</v>
      </c>
      <c r="I613" s="3">
        <v>49.86</v>
      </c>
    </row>
    <row r="614" spans="1:9" ht="15" customHeight="1" x14ac:dyDescent="0.25">
      <c r="A614" s="2" t="s">
        <v>80</v>
      </c>
      <c r="B614" s="2" t="s">
        <v>177</v>
      </c>
      <c r="C614" s="2" t="s">
        <v>178</v>
      </c>
      <c r="D614" s="4">
        <v>1.061371047</v>
      </c>
      <c r="E614" s="3">
        <v>279.29000000000002</v>
      </c>
      <c r="F614" s="3">
        <v>296.43</v>
      </c>
      <c r="G614" s="3">
        <v>209.15</v>
      </c>
      <c r="H614" s="3">
        <v>74.44</v>
      </c>
      <c r="I614" s="3">
        <v>221.99</v>
      </c>
    </row>
    <row r="615" spans="1:9" ht="15" customHeight="1" x14ac:dyDescent="0.25">
      <c r="A615" s="2" t="s">
        <v>80</v>
      </c>
      <c r="B615" s="2" t="s">
        <v>235</v>
      </c>
      <c r="C615" s="2" t="s">
        <v>236</v>
      </c>
      <c r="D615" s="4">
        <v>0.64805078400000005</v>
      </c>
      <c r="E615" s="3">
        <v>345.3</v>
      </c>
      <c r="F615" s="3">
        <v>223.77</v>
      </c>
      <c r="G615" s="3">
        <v>308.12</v>
      </c>
      <c r="H615" s="3">
        <v>24.09</v>
      </c>
      <c r="I615" s="3">
        <v>199.68</v>
      </c>
    </row>
    <row r="616" spans="1:9" ht="15" customHeight="1" x14ac:dyDescent="0.25">
      <c r="A616" s="2" t="s">
        <v>80</v>
      </c>
      <c r="B616" s="2" t="s">
        <v>190</v>
      </c>
      <c r="C616" s="2" t="s">
        <v>191</v>
      </c>
      <c r="D616" s="4">
        <v>23</v>
      </c>
      <c r="E616" s="3">
        <v>24.8</v>
      </c>
      <c r="F616" s="3">
        <v>570.4</v>
      </c>
      <c r="G616" s="3">
        <v>25.05</v>
      </c>
      <c r="H616" s="3">
        <v>-5.74</v>
      </c>
      <c r="I616" s="3">
        <v>576.14</v>
      </c>
    </row>
    <row r="617" spans="1:9" ht="15" customHeight="1" x14ac:dyDescent="0.25">
      <c r="A617" s="2" t="s">
        <v>80</v>
      </c>
      <c r="B617" s="2" t="s">
        <v>238</v>
      </c>
      <c r="C617" s="2" t="s">
        <v>239</v>
      </c>
      <c r="D617" s="4">
        <v>18</v>
      </c>
      <c r="E617" s="3">
        <v>0.08</v>
      </c>
      <c r="F617" s="3">
        <v>1.4</v>
      </c>
      <c r="G617" s="3"/>
      <c r="H617" s="3">
        <v>1.4</v>
      </c>
      <c r="I617" s="3"/>
    </row>
    <row r="618" spans="1:9" ht="15" customHeight="1" x14ac:dyDescent="0.25">
      <c r="A618" s="2" t="s">
        <v>80</v>
      </c>
      <c r="B618" s="2" t="s">
        <v>136</v>
      </c>
      <c r="C618" s="2" t="s">
        <v>151</v>
      </c>
      <c r="D618" s="4">
        <v>55.221300822000003</v>
      </c>
      <c r="E618" s="3">
        <v>25.1</v>
      </c>
      <c r="F618" s="3">
        <v>1386.05</v>
      </c>
      <c r="G618" s="3">
        <v>25.08</v>
      </c>
      <c r="H618" s="3">
        <v>1.17</v>
      </c>
      <c r="I618" s="3">
        <v>1384.89</v>
      </c>
    </row>
    <row r="619" spans="1:9" ht="15" customHeight="1" x14ac:dyDescent="0.25">
      <c r="A619" s="2" t="s">
        <v>80</v>
      </c>
      <c r="B619" s="2" t="s">
        <v>164</v>
      </c>
      <c r="C619" s="2" t="s">
        <v>237</v>
      </c>
      <c r="D619" s="4">
        <v>32.707712825999998</v>
      </c>
      <c r="E619" s="3">
        <v>12.81</v>
      </c>
      <c r="F619" s="3">
        <v>418.99</v>
      </c>
      <c r="G619" s="3">
        <v>17.149999999999999</v>
      </c>
      <c r="H619" s="3">
        <v>-141.81</v>
      </c>
      <c r="I619" s="3">
        <v>560.79999999999995</v>
      </c>
    </row>
    <row r="620" spans="1:9" ht="15" customHeight="1" x14ac:dyDescent="0.25">
      <c r="A620" s="2" t="s">
        <v>82</v>
      </c>
      <c r="B620" s="2" t="s">
        <v>104</v>
      </c>
      <c r="C620" s="2" t="s">
        <v>105</v>
      </c>
      <c r="D620" s="4" t="s">
        <v>106</v>
      </c>
      <c r="E620" s="3"/>
      <c r="F620" s="3">
        <v>121.85</v>
      </c>
      <c r="G620" s="3"/>
      <c r="H620" s="3"/>
      <c r="I620" s="3"/>
    </row>
    <row r="621" spans="1:9" ht="15" customHeight="1" x14ac:dyDescent="0.25">
      <c r="A621" s="2" t="s">
        <v>82</v>
      </c>
      <c r="B621" s="2" t="s">
        <v>192</v>
      </c>
      <c r="C621" s="2" t="s">
        <v>193</v>
      </c>
      <c r="D621" s="4">
        <v>2.7978783599999999</v>
      </c>
      <c r="E621" s="3">
        <v>53.08</v>
      </c>
      <c r="F621" s="3">
        <v>148.51</v>
      </c>
      <c r="G621" s="3">
        <v>41.71</v>
      </c>
      <c r="H621" s="3">
        <v>31.81</v>
      </c>
      <c r="I621" s="3">
        <v>116.7</v>
      </c>
    </row>
    <row r="622" spans="1:9" ht="15" customHeight="1" x14ac:dyDescent="0.25">
      <c r="A622" s="2" t="s">
        <v>82</v>
      </c>
      <c r="B622" s="2" t="s">
        <v>215</v>
      </c>
      <c r="C622" s="2" t="s">
        <v>180</v>
      </c>
      <c r="D622" s="4">
        <v>23</v>
      </c>
      <c r="E622" s="3">
        <v>30.6</v>
      </c>
      <c r="F622" s="3">
        <v>703.69</v>
      </c>
      <c r="G622" s="3">
        <v>29.15</v>
      </c>
      <c r="H622" s="3">
        <v>33.22</v>
      </c>
      <c r="I622" s="3">
        <v>670.47</v>
      </c>
    </row>
    <row r="623" spans="1:9" ht="15" customHeight="1" x14ac:dyDescent="0.25">
      <c r="A623" s="2" t="s">
        <v>82</v>
      </c>
      <c r="B623" s="2" t="s">
        <v>111</v>
      </c>
      <c r="C623" s="2" t="s">
        <v>131</v>
      </c>
      <c r="D623" s="4">
        <v>1.4759498200000001</v>
      </c>
      <c r="E623" s="3">
        <v>169.82</v>
      </c>
      <c r="F623" s="3">
        <v>250.65</v>
      </c>
      <c r="G623" s="3">
        <v>117.96</v>
      </c>
      <c r="H623" s="3">
        <v>76.540000000000006</v>
      </c>
      <c r="I623" s="3">
        <v>174.11</v>
      </c>
    </row>
    <row r="624" spans="1:9" ht="15" customHeight="1" x14ac:dyDescent="0.25">
      <c r="A624" s="2" t="s">
        <v>82</v>
      </c>
      <c r="B624" s="2" t="s">
        <v>240</v>
      </c>
      <c r="C624" s="2" t="s">
        <v>241</v>
      </c>
      <c r="D624" s="4">
        <v>1.295479316</v>
      </c>
      <c r="E624" s="3">
        <v>77.319999999999993</v>
      </c>
      <c r="F624" s="3">
        <v>100.17</v>
      </c>
      <c r="G624" s="3">
        <v>77.069999999999993</v>
      </c>
      <c r="H624" s="3">
        <v>0.33</v>
      </c>
      <c r="I624" s="3">
        <v>99.84</v>
      </c>
    </row>
    <row r="625" spans="1:9" ht="15" customHeight="1" x14ac:dyDescent="0.25">
      <c r="A625" s="2" t="s">
        <v>82</v>
      </c>
      <c r="B625" s="2" t="s">
        <v>183</v>
      </c>
      <c r="C625" s="2" t="s">
        <v>184</v>
      </c>
      <c r="D625" s="4">
        <v>16.901827541999999</v>
      </c>
      <c r="E625" s="3">
        <v>26.69</v>
      </c>
      <c r="F625" s="3">
        <v>451.11</v>
      </c>
      <c r="G625" s="3">
        <v>26.72</v>
      </c>
      <c r="H625" s="3">
        <v>-0.42</v>
      </c>
      <c r="I625" s="3">
        <v>451.53</v>
      </c>
    </row>
    <row r="626" spans="1:9" ht="15" customHeight="1" x14ac:dyDescent="0.25">
      <c r="A626" s="2" t="s">
        <v>82</v>
      </c>
      <c r="B626" s="2" t="s">
        <v>140</v>
      </c>
      <c r="C626" s="2" t="s">
        <v>224</v>
      </c>
      <c r="D626" s="4">
        <v>107.59141935300001</v>
      </c>
      <c r="E626" s="3">
        <v>6.34</v>
      </c>
      <c r="F626" s="3">
        <v>682.13</v>
      </c>
      <c r="G626" s="3">
        <v>13.04</v>
      </c>
      <c r="H626" s="3">
        <v>-720.49</v>
      </c>
      <c r="I626" s="3">
        <v>1402.62</v>
      </c>
    </row>
    <row r="627" spans="1:9" ht="15" customHeight="1" x14ac:dyDescent="0.25">
      <c r="A627" s="2" t="s">
        <v>82</v>
      </c>
      <c r="B627" s="2" t="s">
        <v>225</v>
      </c>
      <c r="C627" s="2" t="s">
        <v>226</v>
      </c>
      <c r="D627" s="4">
        <v>7.08266113</v>
      </c>
      <c r="E627" s="3">
        <v>30.38</v>
      </c>
      <c r="F627" s="3">
        <v>215.17</v>
      </c>
      <c r="G627" s="3">
        <v>29.88</v>
      </c>
      <c r="H627" s="3">
        <v>3.52</v>
      </c>
      <c r="I627" s="3">
        <v>211.65</v>
      </c>
    </row>
    <row r="628" spans="1:9" ht="15" customHeight="1" x14ac:dyDescent="0.25">
      <c r="A628" s="2" t="s">
        <v>82</v>
      </c>
      <c r="B628" s="2" t="s">
        <v>158</v>
      </c>
      <c r="C628" s="2" t="s">
        <v>227</v>
      </c>
      <c r="D628" s="4">
        <v>18.120756786000001</v>
      </c>
      <c r="E628" s="3">
        <v>13.59</v>
      </c>
      <c r="F628" s="3">
        <v>246.26</v>
      </c>
      <c r="G628" s="3">
        <v>18.57</v>
      </c>
      <c r="H628" s="3">
        <v>-90.32</v>
      </c>
      <c r="I628" s="3">
        <v>336.58</v>
      </c>
    </row>
    <row r="629" spans="1:9" ht="15" customHeight="1" x14ac:dyDescent="0.25">
      <c r="A629" s="2" t="s">
        <v>82</v>
      </c>
      <c r="B629" s="2" t="s">
        <v>204</v>
      </c>
      <c r="C629" s="2" t="s">
        <v>205</v>
      </c>
      <c r="D629" s="4">
        <v>34</v>
      </c>
      <c r="E629" s="3">
        <v>2.92</v>
      </c>
      <c r="F629" s="3">
        <v>99.28</v>
      </c>
      <c r="G629" s="3">
        <v>6.44</v>
      </c>
      <c r="H629" s="3">
        <v>-119.81</v>
      </c>
      <c r="I629" s="3">
        <v>219.09</v>
      </c>
    </row>
    <row r="630" spans="1:9" ht="15" customHeight="1" x14ac:dyDescent="0.25">
      <c r="A630" s="2" t="s">
        <v>82</v>
      </c>
      <c r="B630" s="2" t="s">
        <v>166</v>
      </c>
      <c r="C630" s="2" t="s">
        <v>167</v>
      </c>
      <c r="D630" s="4">
        <v>13.425754398</v>
      </c>
      <c r="E630" s="3">
        <v>51.07</v>
      </c>
      <c r="F630" s="3">
        <v>685.65</v>
      </c>
      <c r="G630" s="3">
        <v>50.84</v>
      </c>
      <c r="H630" s="3">
        <v>3.06</v>
      </c>
      <c r="I630" s="3">
        <v>682.6</v>
      </c>
    </row>
    <row r="631" spans="1:9" ht="15" customHeight="1" x14ac:dyDescent="0.25">
      <c r="A631" s="2" t="s">
        <v>82</v>
      </c>
      <c r="B631" s="2" t="s">
        <v>170</v>
      </c>
      <c r="C631" s="2" t="s">
        <v>228</v>
      </c>
      <c r="D631" s="4">
        <v>11.637505959</v>
      </c>
      <c r="E631" s="3">
        <v>47.25</v>
      </c>
      <c r="F631" s="3">
        <v>549.87</v>
      </c>
      <c r="G631" s="3">
        <v>47.45</v>
      </c>
      <c r="H631" s="3">
        <v>-2.36</v>
      </c>
      <c r="I631" s="3">
        <v>552.23</v>
      </c>
    </row>
    <row r="632" spans="1:9" ht="15" customHeight="1" x14ac:dyDescent="0.25">
      <c r="A632" s="2" t="s">
        <v>82</v>
      </c>
      <c r="B632" s="2" t="s">
        <v>127</v>
      </c>
      <c r="C632" s="2" t="s">
        <v>128</v>
      </c>
      <c r="D632" s="4">
        <v>124.382763207</v>
      </c>
      <c r="E632" s="3">
        <v>25.55</v>
      </c>
      <c r="F632" s="3">
        <v>3177.98</v>
      </c>
      <c r="G632" s="3">
        <v>25.4</v>
      </c>
      <c r="H632" s="3">
        <v>18.96</v>
      </c>
      <c r="I632" s="3">
        <v>3159.02</v>
      </c>
    </row>
    <row r="633" spans="1:9" ht="15" customHeight="1" x14ac:dyDescent="0.25">
      <c r="A633" s="2" t="s">
        <v>82</v>
      </c>
      <c r="B633" s="2" t="s">
        <v>132</v>
      </c>
      <c r="C633" s="2" t="s">
        <v>229</v>
      </c>
      <c r="D633" s="4">
        <v>69</v>
      </c>
      <c r="E633" s="3">
        <v>14.56</v>
      </c>
      <c r="F633" s="3">
        <v>1004.64</v>
      </c>
      <c r="G633" s="3">
        <v>15.27</v>
      </c>
      <c r="H633" s="3">
        <v>-48.77</v>
      </c>
      <c r="I633" s="3">
        <v>1053.4100000000001</v>
      </c>
    </row>
    <row r="634" spans="1:9" ht="15" customHeight="1" x14ac:dyDescent="0.25">
      <c r="A634" s="2" t="s">
        <v>82</v>
      </c>
      <c r="B634" s="2" t="s">
        <v>216</v>
      </c>
      <c r="C634" s="2" t="s">
        <v>217</v>
      </c>
      <c r="D634" s="4">
        <v>1.3964005960000001</v>
      </c>
      <c r="E634" s="3">
        <v>24.42</v>
      </c>
      <c r="F634" s="3">
        <v>34.1</v>
      </c>
      <c r="G634" s="3">
        <v>21.45</v>
      </c>
      <c r="H634" s="3">
        <v>4.1500000000000004</v>
      </c>
      <c r="I634" s="3">
        <v>29.95</v>
      </c>
    </row>
    <row r="635" spans="1:9" ht="15" customHeight="1" x14ac:dyDescent="0.25">
      <c r="A635" s="2" t="s">
        <v>82</v>
      </c>
      <c r="B635" s="2" t="s">
        <v>134</v>
      </c>
      <c r="C635" s="2" t="s">
        <v>142</v>
      </c>
      <c r="D635" s="4">
        <v>81.932464237000005</v>
      </c>
      <c r="E635" s="3">
        <v>25.59</v>
      </c>
      <c r="F635" s="3">
        <v>2096.2399999999998</v>
      </c>
      <c r="G635" s="3">
        <v>25.62</v>
      </c>
      <c r="H635" s="3">
        <v>-2.97</v>
      </c>
      <c r="I635" s="3">
        <v>2099.21</v>
      </c>
    </row>
    <row r="636" spans="1:9" ht="15" customHeight="1" x14ac:dyDescent="0.25">
      <c r="A636" s="2" t="s">
        <v>82</v>
      </c>
      <c r="B636" s="2" t="s">
        <v>143</v>
      </c>
      <c r="C636" s="2" t="s">
        <v>144</v>
      </c>
      <c r="D636" s="4">
        <v>54.877253969000002</v>
      </c>
      <c r="E636" s="3">
        <v>50.74</v>
      </c>
      <c r="F636" s="3">
        <v>2784.47</v>
      </c>
      <c r="G636" s="3">
        <v>50.68</v>
      </c>
      <c r="H636" s="3">
        <v>3.41</v>
      </c>
      <c r="I636" s="3">
        <v>2781.07</v>
      </c>
    </row>
    <row r="637" spans="1:9" ht="15" customHeight="1" x14ac:dyDescent="0.25">
      <c r="A637" s="2" t="s">
        <v>82</v>
      </c>
      <c r="B637" s="2" t="s">
        <v>185</v>
      </c>
      <c r="C637" s="2" t="s">
        <v>186</v>
      </c>
      <c r="D637" s="4">
        <v>4.5617948940000002</v>
      </c>
      <c r="E637" s="3">
        <v>48.2</v>
      </c>
      <c r="F637" s="3">
        <v>219.88</v>
      </c>
      <c r="G637" s="3">
        <v>48.21</v>
      </c>
      <c r="H637" s="3">
        <v>-0.04</v>
      </c>
      <c r="I637" s="3">
        <v>219.92</v>
      </c>
    </row>
    <row r="638" spans="1:9" ht="15" customHeight="1" x14ac:dyDescent="0.25">
      <c r="A638" s="2" t="s">
        <v>82</v>
      </c>
      <c r="B638" s="2" t="s">
        <v>218</v>
      </c>
      <c r="C638" s="2" t="s">
        <v>219</v>
      </c>
      <c r="D638" s="4">
        <v>7.4590827319999997</v>
      </c>
      <c r="E638" s="3">
        <v>59.1</v>
      </c>
      <c r="F638" s="3">
        <v>440.83</v>
      </c>
      <c r="G638" s="3">
        <v>54.96</v>
      </c>
      <c r="H638" s="3">
        <v>30.9</v>
      </c>
      <c r="I638" s="3">
        <v>409.93</v>
      </c>
    </row>
    <row r="639" spans="1:9" ht="15" customHeight="1" x14ac:dyDescent="0.25">
      <c r="A639" s="2" t="s">
        <v>82</v>
      </c>
      <c r="B639" s="2" t="s">
        <v>121</v>
      </c>
      <c r="C639" s="2" t="s">
        <v>172</v>
      </c>
      <c r="D639" s="4">
        <v>39.806637678000001</v>
      </c>
      <c r="E639" s="3">
        <v>32.35</v>
      </c>
      <c r="F639" s="3">
        <v>1287.74</v>
      </c>
      <c r="G639" s="3">
        <v>38.869999999999997</v>
      </c>
      <c r="H639" s="3">
        <v>-259.69</v>
      </c>
      <c r="I639" s="3">
        <v>1547.44</v>
      </c>
    </row>
    <row r="640" spans="1:9" ht="15" customHeight="1" x14ac:dyDescent="0.25">
      <c r="A640" s="2" t="s">
        <v>82</v>
      </c>
      <c r="B640" s="2" t="s">
        <v>173</v>
      </c>
      <c r="C640" s="2" t="s">
        <v>174</v>
      </c>
      <c r="D640" s="4">
        <v>3.147079266</v>
      </c>
      <c r="E640" s="3">
        <v>68.900000000000006</v>
      </c>
      <c r="F640" s="3">
        <v>216.83</v>
      </c>
      <c r="G640" s="3">
        <v>63.45</v>
      </c>
      <c r="H640" s="3">
        <v>17.16</v>
      </c>
      <c r="I640" s="3">
        <v>199.68</v>
      </c>
    </row>
    <row r="641" spans="1:9" ht="15" customHeight="1" x14ac:dyDescent="0.25">
      <c r="A641" s="2" t="s">
        <v>82</v>
      </c>
      <c r="B641" s="2" t="s">
        <v>242</v>
      </c>
      <c r="C641" s="2" t="s">
        <v>243</v>
      </c>
      <c r="D641" s="4">
        <v>7.874658771</v>
      </c>
      <c r="E641" s="3">
        <v>18.27</v>
      </c>
      <c r="F641" s="3">
        <v>143.87</v>
      </c>
      <c r="G641" s="3">
        <v>19.05</v>
      </c>
      <c r="H641" s="3">
        <v>-6.13</v>
      </c>
      <c r="I641" s="3">
        <v>150</v>
      </c>
    </row>
    <row r="642" spans="1:9" ht="15" customHeight="1" x14ac:dyDescent="0.25">
      <c r="A642" s="2" t="s">
        <v>82</v>
      </c>
      <c r="B642" s="2" t="s">
        <v>206</v>
      </c>
      <c r="C642" s="2" t="s">
        <v>207</v>
      </c>
      <c r="D642" s="4">
        <v>1.2524052530000001</v>
      </c>
      <c r="E642" s="3">
        <v>17.88</v>
      </c>
      <c r="F642" s="3">
        <v>22.39</v>
      </c>
      <c r="G642" s="3">
        <v>23.91</v>
      </c>
      <c r="H642" s="3">
        <v>-7.55</v>
      </c>
      <c r="I642" s="3">
        <v>29.94</v>
      </c>
    </row>
    <row r="643" spans="1:9" ht="15" customHeight="1" x14ac:dyDescent="0.25">
      <c r="A643" s="2" t="s">
        <v>82</v>
      </c>
      <c r="B643" s="2" t="s">
        <v>179</v>
      </c>
      <c r="C643" s="2" t="s">
        <v>180</v>
      </c>
      <c r="D643" s="4">
        <v>35</v>
      </c>
      <c r="E643" s="3">
        <v>27</v>
      </c>
      <c r="F643" s="3">
        <v>944.83</v>
      </c>
      <c r="G643" s="3">
        <v>24.5</v>
      </c>
      <c r="H643" s="3">
        <v>87.24</v>
      </c>
      <c r="I643" s="3">
        <v>857.58</v>
      </c>
    </row>
    <row r="644" spans="1:9" ht="15" customHeight="1" x14ac:dyDescent="0.25">
      <c r="A644" s="2" t="s">
        <v>82</v>
      </c>
      <c r="B644" s="2" t="s">
        <v>152</v>
      </c>
      <c r="C644" s="2" t="s">
        <v>230</v>
      </c>
      <c r="D644" s="4">
        <v>44.547850902</v>
      </c>
      <c r="E644" s="3">
        <v>10.89</v>
      </c>
      <c r="F644" s="3">
        <v>485.13</v>
      </c>
      <c r="G644" s="3">
        <v>23.95</v>
      </c>
      <c r="H644" s="3">
        <v>-581.91999999999996</v>
      </c>
      <c r="I644" s="3">
        <v>1067.05</v>
      </c>
    </row>
    <row r="645" spans="1:9" ht="15" customHeight="1" x14ac:dyDescent="0.25">
      <c r="A645" s="2" t="s">
        <v>82</v>
      </c>
      <c r="B645" s="2" t="s">
        <v>113</v>
      </c>
      <c r="C645" s="2" t="s">
        <v>114</v>
      </c>
      <c r="D645" s="4">
        <v>2.9389128389999999</v>
      </c>
      <c r="E645" s="3">
        <v>85.49</v>
      </c>
      <c r="F645" s="3">
        <v>251.25</v>
      </c>
      <c r="G645" s="3">
        <v>69.989999999999995</v>
      </c>
      <c r="H645" s="3">
        <v>45.57</v>
      </c>
      <c r="I645" s="3">
        <v>205.68</v>
      </c>
    </row>
    <row r="646" spans="1:9" ht="15" customHeight="1" x14ac:dyDescent="0.25">
      <c r="A646" s="2" t="s">
        <v>82</v>
      </c>
      <c r="B646" s="2" t="s">
        <v>145</v>
      </c>
      <c r="C646" s="2" t="s">
        <v>231</v>
      </c>
      <c r="D646" s="4">
        <v>46.191842182000002</v>
      </c>
      <c r="E646" s="3">
        <v>16.739999999999998</v>
      </c>
      <c r="F646" s="3">
        <v>773.25</v>
      </c>
      <c r="G646" s="3">
        <v>22.39</v>
      </c>
      <c r="H646" s="3">
        <v>-260.89</v>
      </c>
      <c r="I646" s="3">
        <v>1034.1400000000001</v>
      </c>
    </row>
    <row r="647" spans="1:9" ht="15" customHeight="1" x14ac:dyDescent="0.25">
      <c r="A647" s="2" t="s">
        <v>82</v>
      </c>
      <c r="B647" s="2" t="s">
        <v>154</v>
      </c>
      <c r="C647" s="2" t="s">
        <v>155</v>
      </c>
      <c r="D647" s="4">
        <v>4.9561137530000003</v>
      </c>
      <c r="E647" s="3">
        <v>57.98</v>
      </c>
      <c r="F647" s="3">
        <v>287.36</v>
      </c>
      <c r="G647" s="3">
        <v>60.43</v>
      </c>
      <c r="H647" s="3">
        <v>-12.15</v>
      </c>
      <c r="I647" s="3">
        <v>299.51</v>
      </c>
    </row>
    <row r="648" spans="1:9" ht="15" customHeight="1" x14ac:dyDescent="0.25">
      <c r="A648" s="2" t="s">
        <v>82</v>
      </c>
      <c r="B648" s="2" t="s">
        <v>244</v>
      </c>
      <c r="C648" s="2" t="s">
        <v>245</v>
      </c>
      <c r="D648" s="4">
        <v>2.7722749360000001</v>
      </c>
      <c r="E648" s="3">
        <v>21.36</v>
      </c>
      <c r="F648" s="3">
        <v>59.22</v>
      </c>
      <c r="G648" s="3">
        <v>21.61</v>
      </c>
      <c r="H648" s="3">
        <v>-0.68</v>
      </c>
      <c r="I648" s="3">
        <v>59.89</v>
      </c>
    </row>
    <row r="649" spans="1:9" ht="15" customHeight="1" x14ac:dyDescent="0.25">
      <c r="A649" s="2" t="s">
        <v>82</v>
      </c>
      <c r="B649" s="2" t="s">
        <v>129</v>
      </c>
      <c r="C649" s="2" t="s">
        <v>130</v>
      </c>
      <c r="D649" s="4">
        <v>52</v>
      </c>
      <c r="E649" s="3">
        <v>49.93</v>
      </c>
      <c r="F649" s="3">
        <v>2596.41</v>
      </c>
      <c r="G649" s="3">
        <v>50.22</v>
      </c>
      <c r="H649" s="3">
        <v>-14.88</v>
      </c>
      <c r="I649" s="3">
        <v>2611.29</v>
      </c>
    </row>
    <row r="650" spans="1:9" ht="15" customHeight="1" x14ac:dyDescent="0.25">
      <c r="A650" s="2" t="s">
        <v>82</v>
      </c>
      <c r="B650" s="2" t="s">
        <v>175</v>
      </c>
      <c r="C650" s="2" t="s">
        <v>176</v>
      </c>
      <c r="D650" s="4">
        <v>3.5858065880000001</v>
      </c>
      <c r="E650" s="3">
        <v>200.47</v>
      </c>
      <c r="F650" s="3">
        <v>718.85</v>
      </c>
      <c r="G650" s="3">
        <v>67.94</v>
      </c>
      <c r="H650" s="3">
        <v>475.24</v>
      </c>
      <c r="I650" s="3">
        <v>243.61</v>
      </c>
    </row>
    <row r="651" spans="1:9" ht="15" customHeight="1" x14ac:dyDescent="0.25">
      <c r="A651" s="2" t="s">
        <v>82</v>
      </c>
      <c r="B651" s="2" t="s">
        <v>194</v>
      </c>
      <c r="C651" s="2" t="s">
        <v>232</v>
      </c>
      <c r="D651" s="4">
        <v>10</v>
      </c>
      <c r="E651" s="3">
        <v>65.14</v>
      </c>
      <c r="F651" s="3">
        <v>651.4</v>
      </c>
      <c r="G651" s="3">
        <v>69.88</v>
      </c>
      <c r="H651" s="3">
        <v>-47.37</v>
      </c>
      <c r="I651" s="3">
        <v>698.77</v>
      </c>
    </row>
    <row r="652" spans="1:9" ht="15" customHeight="1" x14ac:dyDescent="0.25">
      <c r="A652" s="2" t="s">
        <v>82</v>
      </c>
      <c r="B652" s="2" t="s">
        <v>233</v>
      </c>
      <c r="C652" s="2" t="s">
        <v>234</v>
      </c>
      <c r="D652" s="4">
        <v>2.7847254929999998</v>
      </c>
      <c r="E652" s="3">
        <v>62.98</v>
      </c>
      <c r="F652" s="3">
        <v>175.38</v>
      </c>
      <c r="G652" s="3">
        <v>48.4</v>
      </c>
      <c r="H652" s="3">
        <v>40.6</v>
      </c>
      <c r="I652" s="3">
        <v>134.78</v>
      </c>
    </row>
    <row r="653" spans="1:9" ht="15" customHeight="1" x14ac:dyDescent="0.25">
      <c r="A653" s="2" t="s">
        <v>82</v>
      </c>
      <c r="B653" s="2" t="s">
        <v>213</v>
      </c>
      <c r="C653" s="2" t="s">
        <v>214</v>
      </c>
      <c r="D653" s="4">
        <v>12.130384754</v>
      </c>
      <c r="E653" s="3">
        <v>26.75</v>
      </c>
      <c r="F653" s="3">
        <v>324.49</v>
      </c>
      <c r="G653" s="3">
        <v>27.01</v>
      </c>
      <c r="H653" s="3">
        <v>-3.13</v>
      </c>
      <c r="I653" s="3">
        <v>327.61</v>
      </c>
    </row>
    <row r="654" spans="1:9" ht="15" customHeight="1" x14ac:dyDescent="0.25">
      <c r="A654" s="2" t="s">
        <v>82</v>
      </c>
      <c r="B654" s="2" t="s">
        <v>196</v>
      </c>
      <c r="C654" s="2" t="s">
        <v>197</v>
      </c>
      <c r="D654" s="4">
        <v>18.965362901999999</v>
      </c>
      <c r="E654" s="3">
        <v>23.8</v>
      </c>
      <c r="F654" s="3">
        <v>451.38</v>
      </c>
      <c r="G654" s="3">
        <v>22.39</v>
      </c>
      <c r="H654" s="3">
        <v>26.75</v>
      </c>
      <c r="I654" s="3">
        <v>424.62</v>
      </c>
    </row>
    <row r="655" spans="1:9" ht="15" customHeight="1" x14ac:dyDescent="0.25">
      <c r="A655" s="2" t="s">
        <v>82</v>
      </c>
      <c r="B655" s="2" t="s">
        <v>119</v>
      </c>
      <c r="C655" s="2" t="s">
        <v>120</v>
      </c>
      <c r="D655" s="4">
        <v>45.588122087999999</v>
      </c>
      <c r="E655" s="3">
        <v>100.72</v>
      </c>
      <c r="F655" s="3">
        <v>4591.6400000000003</v>
      </c>
      <c r="G655" s="3">
        <v>100.31</v>
      </c>
      <c r="H655" s="3">
        <v>18.68</v>
      </c>
      <c r="I655" s="3">
        <v>4572.95</v>
      </c>
    </row>
    <row r="656" spans="1:9" ht="15" customHeight="1" x14ac:dyDescent="0.25">
      <c r="A656" s="2" t="s">
        <v>82</v>
      </c>
      <c r="B656" s="2" t="s">
        <v>115</v>
      </c>
      <c r="C656" s="2" t="s">
        <v>116</v>
      </c>
      <c r="D656" s="4">
        <v>58.775880075000003</v>
      </c>
      <c r="E656" s="3">
        <v>110.49</v>
      </c>
      <c r="F656" s="3">
        <v>6494.15</v>
      </c>
      <c r="G656" s="3">
        <v>110.07</v>
      </c>
      <c r="H656" s="3">
        <v>24.48</v>
      </c>
      <c r="I656" s="3">
        <v>6469.67</v>
      </c>
    </row>
    <row r="657" spans="1:9" ht="15" customHeight="1" x14ac:dyDescent="0.25">
      <c r="A657" s="2" t="s">
        <v>82</v>
      </c>
      <c r="B657" s="2" t="s">
        <v>181</v>
      </c>
      <c r="C657" s="2" t="s">
        <v>182</v>
      </c>
      <c r="D657" s="4">
        <v>9.5861616040000008</v>
      </c>
      <c r="E657" s="3">
        <v>21.69</v>
      </c>
      <c r="F657" s="3">
        <v>207.92</v>
      </c>
      <c r="G657" s="3">
        <v>26.04</v>
      </c>
      <c r="H657" s="3">
        <v>-41.68</v>
      </c>
      <c r="I657" s="3">
        <v>249.6</v>
      </c>
    </row>
    <row r="658" spans="1:9" ht="15" customHeight="1" x14ac:dyDescent="0.25">
      <c r="A658" s="2" t="s">
        <v>82</v>
      </c>
      <c r="B658" s="2" t="s">
        <v>162</v>
      </c>
      <c r="C658" s="2" t="s">
        <v>246</v>
      </c>
      <c r="D658" s="4">
        <v>45.074905479999998</v>
      </c>
      <c r="E658" s="3">
        <v>25.44</v>
      </c>
      <c r="F658" s="3">
        <v>1146.71</v>
      </c>
      <c r="G658" s="3">
        <v>25.29</v>
      </c>
      <c r="H658" s="3">
        <v>6.73</v>
      </c>
      <c r="I658" s="3">
        <v>1139.98</v>
      </c>
    </row>
    <row r="659" spans="1:9" ht="15" customHeight="1" x14ac:dyDescent="0.25">
      <c r="A659" s="2" t="s">
        <v>82</v>
      </c>
      <c r="B659" s="2" t="s">
        <v>222</v>
      </c>
      <c r="C659" s="2" t="s">
        <v>223</v>
      </c>
      <c r="D659" s="4">
        <v>13.370193596</v>
      </c>
      <c r="E659" s="3">
        <v>6.28</v>
      </c>
      <c r="F659" s="3">
        <v>83.96</v>
      </c>
      <c r="G659" s="3">
        <v>3.73</v>
      </c>
      <c r="H659" s="3">
        <v>34.1</v>
      </c>
      <c r="I659" s="3">
        <v>49.86</v>
      </c>
    </row>
    <row r="660" spans="1:9" ht="15" customHeight="1" x14ac:dyDescent="0.25">
      <c r="A660" s="2" t="s">
        <v>82</v>
      </c>
      <c r="B660" s="2" t="s">
        <v>177</v>
      </c>
      <c r="C660" s="2" t="s">
        <v>178</v>
      </c>
      <c r="D660" s="4">
        <v>1.061371047</v>
      </c>
      <c r="E660" s="3">
        <v>300.43</v>
      </c>
      <c r="F660" s="3">
        <v>318.87</v>
      </c>
      <c r="G660" s="3">
        <v>209.15</v>
      </c>
      <c r="H660" s="3">
        <v>96.88</v>
      </c>
      <c r="I660" s="3">
        <v>221.99</v>
      </c>
    </row>
    <row r="661" spans="1:9" ht="15" customHeight="1" x14ac:dyDescent="0.25">
      <c r="A661" s="2" t="s">
        <v>82</v>
      </c>
      <c r="B661" s="2" t="s">
        <v>235</v>
      </c>
      <c r="C661" s="2" t="s">
        <v>236</v>
      </c>
      <c r="D661" s="4">
        <v>0.64805078400000005</v>
      </c>
      <c r="E661" s="3">
        <v>341.56</v>
      </c>
      <c r="F661" s="3">
        <v>221.35</v>
      </c>
      <c r="G661" s="3">
        <v>308.12</v>
      </c>
      <c r="H661" s="3">
        <v>21.67</v>
      </c>
      <c r="I661" s="3">
        <v>199.68</v>
      </c>
    </row>
    <row r="662" spans="1:9" ht="15" customHeight="1" x14ac:dyDescent="0.25">
      <c r="A662" s="2" t="s">
        <v>82</v>
      </c>
      <c r="B662" s="2" t="s">
        <v>190</v>
      </c>
      <c r="C662" s="2" t="s">
        <v>191</v>
      </c>
      <c r="D662" s="4">
        <v>23</v>
      </c>
      <c r="E662" s="3">
        <v>23.62</v>
      </c>
      <c r="F662" s="3">
        <v>543.26</v>
      </c>
      <c r="G662" s="3">
        <v>25.05</v>
      </c>
      <c r="H662" s="3">
        <v>-32.880000000000003</v>
      </c>
      <c r="I662" s="3">
        <v>576.14</v>
      </c>
    </row>
    <row r="663" spans="1:9" ht="15" customHeight="1" x14ac:dyDescent="0.25">
      <c r="A663" s="2" t="s">
        <v>82</v>
      </c>
      <c r="B663" s="2" t="s">
        <v>136</v>
      </c>
      <c r="C663" s="2" t="s">
        <v>151</v>
      </c>
      <c r="D663" s="4">
        <v>57.650590286000003</v>
      </c>
      <c r="E663" s="3">
        <v>25.09</v>
      </c>
      <c r="F663" s="3">
        <v>1446.17</v>
      </c>
      <c r="G663" s="3">
        <v>25.08</v>
      </c>
      <c r="H663" s="3">
        <v>0.38</v>
      </c>
      <c r="I663" s="3">
        <v>1445.79</v>
      </c>
    </row>
    <row r="664" spans="1:9" ht="15" customHeight="1" x14ac:dyDescent="0.25">
      <c r="A664" s="2" t="s">
        <v>82</v>
      </c>
      <c r="B664" s="2" t="s">
        <v>164</v>
      </c>
      <c r="C664" s="2" t="s">
        <v>237</v>
      </c>
      <c r="D664" s="4">
        <v>32.707712825999998</v>
      </c>
      <c r="E664" s="3">
        <v>12.14</v>
      </c>
      <c r="F664" s="3">
        <v>397.07</v>
      </c>
      <c r="G664" s="3">
        <v>17.149999999999999</v>
      </c>
      <c r="H664" s="3">
        <v>-163.72999999999999</v>
      </c>
      <c r="I664" s="3">
        <v>560.79999999999995</v>
      </c>
    </row>
    <row r="665" spans="1:9" ht="15" customHeight="1" x14ac:dyDescent="0.25">
      <c r="A665" s="2" t="s">
        <v>84</v>
      </c>
      <c r="B665" s="2" t="s">
        <v>104</v>
      </c>
      <c r="C665" s="2" t="s">
        <v>105</v>
      </c>
      <c r="D665" s="4" t="s">
        <v>106</v>
      </c>
      <c r="E665" s="3"/>
      <c r="F665" s="3">
        <v>19.43</v>
      </c>
      <c r="G665" s="3"/>
      <c r="H665" s="3"/>
      <c r="I665" s="3"/>
    </row>
    <row r="666" spans="1:9" ht="15" customHeight="1" x14ac:dyDescent="0.25">
      <c r="A666" s="2" t="s">
        <v>84</v>
      </c>
      <c r="B666" s="2" t="s">
        <v>192</v>
      </c>
      <c r="C666" s="2" t="s">
        <v>193</v>
      </c>
      <c r="D666" s="4">
        <v>2.7978783599999999</v>
      </c>
      <c r="E666" s="3">
        <v>50.14</v>
      </c>
      <c r="F666" s="3">
        <v>140.29</v>
      </c>
      <c r="G666" s="3">
        <v>41.71</v>
      </c>
      <c r="H666" s="3">
        <v>23.59</v>
      </c>
      <c r="I666" s="3">
        <v>116.7</v>
      </c>
    </row>
    <row r="667" spans="1:9" ht="15" customHeight="1" x14ac:dyDescent="0.25">
      <c r="A667" s="2" t="s">
        <v>84</v>
      </c>
      <c r="B667" s="2" t="s">
        <v>215</v>
      </c>
      <c r="C667" s="2" t="s">
        <v>180</v>
      </c>
      <c r="D667" s="4">
        <v>25</v>
      </c>
      <c r="E667" s="3">
        <v>28.75</v>
      </c>
      <c r="F667" s="3">
        <v>718.63</v>
      </c>
      <c r="G667" s="3">
        <v>29.17</v>
      </c>
      <c r="H667" s="3">
        <v>-10.73</v>
      </c>
      <c r="I667" s="3">
        <v>729.35</v>
      </c>
    </row>
    <row r="668" spans="1:9" ht="15" customHeight="1" x14ac:dyDescent="0.25">
      <c r="A668" s="2" t="s">
        <v>84</v>
      </c>
      <c r="B668" s="2" t="s">
        <v>111</v>
      </c>
      <c r="C668" s="2" t="s">
        <v>131</v>
      </c>
      <c r="D668" s="4">
        <v>1.658571494</v>
      </c>
      <c r="E668" s="3">
        <v>135.56</v>
      </c>
      <c r="F668" s="3">
        <v>224.84</v>
      </c>
      <c r="G668" s="3">
        <v>120.02</v>
      </c>
      <c r="H668" s="3">
        <v>25.77</v>
      </c>
      <c r="I668" s="3">
        <v>199.07</v>
      </c>
    </row>
    <row r="669" spans="1:9" ht="15" customHeight="1" x14ac:dyDescent="0.25">
      <c r="A669" s="2" t="s">
        <v>84</v>
      </c>
      <c r="B669" s="2" t="s">
        <v>240</v>
      </c>
      <c r="C669" s="2" t="s">
        <v>241</v>
      </c>
      <c r="D669" s="4">
        <v>1.9754956619999999</v>
      </c>
      <c r="E669" s="3">
        <v>73.650000000000006</v>
      </c>
      <c r="F669" s="3">
        <v>145.5</v>
      </c>
      <c r="G669" s="3">
        <v>75.81</v>
      </c>
      <c r="H669" s="3">
        <v>-4.26</v>
      </c>
      <c r="I669" s="3">
        <v>149.76</v>
      </c>
    </row>
    <row r="670" spans="1:9" ht="15" customHeight="1" x14ac:dyDescent="0.25">
      <c r="A670" s="2" t="s">
        <v>84</v>
      </c>
      <c r="B670" s="2" t="s">
        <v>183</v>
      </c>
      <c r="C670" s="2" t="s">
        <v>184</v>
      </c>
      <c r="D670" s="4">
        <v>19.231672838000001</v>
      </c>
      <c r="E670" s="3">
        <v>26.64</v>
      </c>
      <c r="F670" s="3">
        <v>512.33000000000004</v>
      </c>
      <c r="G670" s="3">
        <v>26.7</v>
      </c>
      <c r="H670" s="3">
        <v>-1.1000000000000001</v>
      </c>
      <c r="I670" s="3">
        <v>513.42999999999995</v>
      </c>
    </row>
    <row r="671" spans="1:9" ht="15" customHeight="1" x14ac:dyDescent="0.25">
      <c r="A671" s="2" t="s">
        <v>84</v>
      </c>
      <c r="B671" s="2" t="s">
        <v>140</v>
      </c>
      <c r="C671" s="2" t="s">
        <v>224</v>
      </c>
      <c r="D671" s="4">
        <v>107.59141935300001</v>
      </c>
      <c r="E671" s="3">
        <v>4.78</v>
      </c>
      <c r="F671" s="3">
        <v>514.29</v>
      </c>
      <c r="G671" s="3">
        <v>13.04</v>
      </c>
      <c r="H671" s="3">
        <v>-888.34</v>
      </c>
      <c r="I671" s="3">
        <v>1402.62</v>
      </c>
    </row>
    <row r="672" spans="1:9" ht="15" customHeight="1" x14ac:dyDescent="0.25">
      <c r="A672" s="2" t="s">
        <v>84</v>
      </c>
      <c r="B672" s="2" t="s">
        <v>225</v>
      </c>
      <c r="C672" s="2" t="s">
        <v>226</v>
      </c>
      <c r="D672" s="4">
        <v>7.08266113</v>
      </c>
      <c r="E672" s="3">
        <v>31.14</v>
      </c>
      <c r="F672" s="3">
        <v>220.55</v>
      </c>
      <c r="G672" s="3">
        <v>29.88</v>
      </c>
      <c r="H672" s="3">
        <v>8.9</v>
      </c>
      <c r="I672" s="3">
        <v>211.65</v>
      </c>
    </row>
    <row r="673" spans="1:9" ht="15" customHeight="1" x14ac:dyDescent="0.25">
      <c r="A673" s="2" t="s">
        <v>84</v>
      </c>
      <c r="B673" s="2" t="s">
        <v>158</v>
      </c>
      <c r="C673" s="2" t="s">
        <v>227</v>
      </c>
      <c r="D673" s="4">
        <v>20.510739642000001</v>
      </c>
      <c r="E673" s="3">
        <v>13.02</v>
      </c>
      <c r="F673" s="3">
        <v>267.05</v>
      </c>
      <c r="G673" s="3">
        <v>17.920000000000002</v>
      </c>
      <c r="H673" s="3">
        <v>-100.48</v>
      </c>
      <c r="I673" s="3">
        <v>367.53</v>
      </c>
    </row>
    <row r="674" spans="1:9" ht="15" customHeight="1" x14ac:dyDescent="0.25">
      <c r="A674" s="2" t="s">
        <v>84</v>
      </c>
      <c r="B674" s="2" t="s">
        <v>204</v>
      </c>
      <c r="C674" s="2" t="s">
        <v>205</v>
      </c>
      <c r="D674" s="4">
        <v>34</v>
      </c>
      <c r="E674" s="3">
        <v>2.93</v>
      </c>
      <c r="F674" s="3">
        <v>99.62</v>
      </c>
      <c r="G674" s="3">
        <v>6.44</v>
      </c>
      <c r="H674" s="3">
        <v>-119.47</v>
      </c>
      <c r="I674" s="3">
        <v>219.09</v>
      </c>
    </row>
    <row r="675" spans="1:9" ht="15" customHeight="1" x14ac:dyDescent="0.25">
      <c r="A675" s="2" t="s">
        <v>84</v>
      </c>
      <c r="B675" s="2" t="s">
        <v>166</v>
      </c>
      <c r="C675" s="2" t="s">
        <v>167</v>
      </c>
      <c r="D675" s="4">
        <v>14.642390272</v>
      </c>
      <c r="E675" s="3">
        <v>51.07</v>
      </c>
      <c r="F675" s="3">
        <v>747.79</v>
      </c>
      <c r="G675" s="3">
        <v>50.85</v>
      </c>
      <c r="H675" s="3">
        <v>3.29</v>
      </c>
      <c r="I675" s="3">
        <v>744.5</v>
      </c>
    </row>
    <row r="676" spans="1:9" ht="15" customHeight="1" x14ac:dyDescent="0.25">
      <c r="A676" s="2" t="s">
        <v>84</v>
      </c>
      <c r="B676" s="2" t="s">
        <v>170</v>
      </c>
      <c r="C676" s="2" t="s">
        <v>228</v>
      </c>
      <c r="D676" s="4">
        <v>12.949836352</v>
      </c>
      <c r="E676" s="3">
        <v>47.16</v>
      </c>
      <c r="F676" s="3">
        <v>610.71</v>
      </c>
      <c r="G676" s="3">
        <v>47.42</v>
      </c>
      <c r="H676" s="3">
        <v>-3.42</v>
      </c>
      <c r="I676" s="3">
        <v>614.13</v>
      </c>
    </row>
    <row r="677" spans="1:9" ht="15" customHeight="1" x14ac:dyDescent="0.25">
      <c r="A677" s="2" t="s">
        <v>84</v>
      </c>
      <c r="B677" s="2" t="s">
        <v>127</v>
      </c>
      <c r="C677" s="2" t="s">
        <v>128</v>
      </c>
      <c r="D677" s="4">
        <v>126.225798795</v>
      </c>
      <c r="E677" s="3">
        <v>25.44</v>
      </c>
      <c r="F677" s="3">
        <v>3211.18</v>
      </c>
      <c r="G677" s="3">
        <v>25.4</v>
      </c>
      <c r="H677" s="3">
        <v>5.24</v>
      </c>
      <c r="I677" s="3">
        <v>3205.94</v>
      </c>
    </row>
    <row r="678" spans="1:9" ht="15" customHeight="1" x14ac:dyDescent="0.25">
      <c r="A678" s="2" t="s">
        <v>84</v>
      </c>
      <c r="B678" s="2" t="s">
        <v>132</v>
      </c>
      <c r="C678" s="2" t="s">
        <v>229</v>
      </c>
      <c r="D678" s="4">
        <v>72</v>
      </c>
      <c r="E678" s="3">
        <v>15.39</v>
      </c>
      <c r="F678" s="3">
        <v>1108.08</v>
      </c>
      <c r="G678" s="3">
        <v>15.24</v>
      </c>
      <c r="H678" s="3">
        <v>10.97</v>
      </c>
      <c r="I678" s="3">
        <v>1097.1099999999999</v>
      </c>
    </row>
    <row r="679" spans="1:9" ht="15" customHeight="1" x14ac:dyDescent="0.25">
      <c r="A679" s="2" t="s">
        <v>84</v>
      </c>
      <c r="B679" s="2" t="s">
        <v>216</v>
      </c>
      <c r="C679" s="2" t="s">
        <v>217</v>
      </c>
      <c r="D679" s="4">
        <v>1.3964005960000001</v>
      </c>
      <c r="E679" s="3">
        <v>21.87</v>
      </c>
      <c r="F679" s="3">
        <v>30.54</v>
      </c>
      <c r="G679" s="3">
        <v>21.45</v>
      </c>
      <c r="H679" s="3">
        <v>0.59</v>
      </c>
      <c r="I679" s="3">
        <v>29.95</v>
      </c>
    </row>
    <row r="680" spans="1:9" ht="15" customHeight="1" x14ac:dyDescent="0.25">
      <c r="A680" s="2" t="s">
        <v>84</v>
      </c>
      <c r="B680" s="2" t="s">
        <v>134</v>
      </c>
      <c r="C680" s="2" t="s">
        <v>142</v>
      </c>
      <c r="D680" s="4">
        <v>83.729553210999995</v>
      </c>
      <c r="E680" s="3">
        <v>25.55</v>
      </c>
      <c r="F680" s="3">
        <v>2139.29</v>
      </c>
      <c r="G680" s="3">
        <v>25.62</v>
      </c>
      <c r="H680" s="3">
        <v>-5.85</v>
      </c>
      <c r="I680" s="3">
        <v>2145.14</v>
      </c>
    </row>
    <row r="681" spans="1:9" ht="15" customHeight="1" x14ac:dyDescent="0.25">
      <c r="A681" s="2" t="s">
        <v>84</v>
      </c>
      <c r="B681" s="2" t="s">
        <v>143</v>
      </c>
      <c r="C681" s="2" t="s">
        <v>144</v>
      </c>
      <c r="D681" s="4">
        <v>55.782492646000001</v>
      </c>
      <c r="E681" s="3">
        <v>50.73</v>
      </c>
      <c r="F681" s="3">
        <v>2829.85</v>
      </c>
      <c r="G681" s="3">
        <v>50.68</v>
      </c>
      <c r="H681" s="3">
        <v>2.85</v>
      </c>
      <c r="I681" s="3">
        <v>2827</v>
      </c>
    </row>
    <row r="682" spans="1:9" ht="15" customHeight="1" x14ac:dyDescent="0.25">
      <c r="A682" s="2" t="s">
        <v>84</v>
      </c>
      <c r="B682" s="2" t="s">
        <v>185</v>
      </c>
      <c r="C682" s="2" t="s">
        <v>186</v>
      </c>
      <c r="D682" s="4">
        <v>5.8503581139999996</v>
      </c>
      <c r="E682" s="3">
        <v>48.05</v>
      </c>
      <c r="F682" s="3">
        <v>281.11</v>
      </c>
      <c r="G682" s="3">
        <v>48.17</v>
      </c>
      <c r="H682" s="3">
        <v>-0.71</v>
      </c>
      <c r="I682" s="3">
        <v>281.82</v>
      </c>
    </row>
    <row r="683" spans="1:9" ht="15" customHeight="1" x14ac:dyDescent="0.25">
      <c r="A683" s="2" t="s">
        <v>84</v>
      </c>
      <c r="B683" s="2" t="s">
        <v>218</v>
      </c>
      <c r="C683" s="2" t="s">
        <v>219</v>
      </c>
      <c r="D683" s="4">
        <v>8.6614600030000002</v>
      </c>
      <c r="E683" s="3">
        <v>58.81</v>
      </c>
      <c r="F683" s="3">
        <v>509.38</v>
      </c>
      <c r="G683" s="3">
        <v>55.41</v>
      </c>
      <c r="H683" s="3">
        <v>29.45</v>
      </c>
      <c r="I683" s="3">
        <v>479.93</v>
      </c>
    </row>
    <row r="684" spans="1:9" ht="15" customHeight="1" x14ac:dyDescent="0.25">
      <c r="A684" s="2" t="s">
        <v>84</v>
      </c>
      <c r="B684" s="2" t="s">
        <v>121</v>
      </c>
      <c r="C684" s="2" t="s">
        <v>172</v>
      </c>
      <c r="D684" s="4">
        <v>43.278305416999999</v>
      </c>
      <c r="E684" s="3">
        <v>30.92</v>
      </c>
      <c r="F684" s="3">
        <v>1338.17</v>
      </c>
      <c r="G684" s="3">
        <v>38.25</v>
      </c>
      <c r="H684" s="3">
        <v>-317.10000000000002</v>
      </c>
      <c r="I684" s="3">
        <v>1655.27</v>
      </c>
    </row>
    <row r="685" spans="1:9" ht="15" customHeight="1" x14ac:dyDescent="0.25">
      <c r="A685" s="2" t="s">
        <v>84</v>
      </c>
      <c r="B685" s="2" t="s">
        <v>173</v>
      </c>
      <c r="C685" s="2" t="s">
        <v>174</v>
      </c>
      <c r="D685" s="4">
        <v>3.147079266</v>
      </c>
      <c r="E685" s="3">
        <v>73.12</v>
      </c>
      <c r="F685" s="3">
        <v>230.11</v>
      </c>
      <c r="G685" s="3">
        <v>63.45</v>
      </c>
      <c r="H685" s="3">
        <v>30.44</v>
      </c>
      <c r="I685" s="3">
        <v>199.68</v>
      </c>
    </row>
    <row r="686" spans="1:9" ht="15" customHeight="1" x14ac:dyDescent="0.25">
      <c r="A686" s="2" t="s">
        <v>84</v>
      </c>
      <c r="B686" s="2" t="s">
        <v>242</v>
      </c>
      <c r="C686" s="2" t="s">
        <v>243</v>
      </c>
      <c r="D686" s="4">
        <v>7.874658771</v>
      </c>
      <c r="E686" s="3">
        <v>11.81</v>
      </c>
      <c r="F686" s="3">
        <v>93</v>
      </c>
      <c r="G686" s="3">
        <v>19.05</v>
      </c>
      <c r="H686" s="3">
        <v>-57</v>
      </c>
      <c r="I686" s="3">
        <v>150</v>
      </c>
    </row>
    <row r="687" spans="1:9" ht="15" customHeight="1" x14ac:dyDescent="0.25">
      <c r="A687" s="2" t="s">
        <v>84</v>
      </c>
      <c r="B687" s="2" t="s">
        <v>206</v>
      </c>
      <c r="C687" s="2" t="s">
        <v>207</v>
      </c>
      <c r="D687" s="4">
        <v>1.2524052530000001</v>
      </c>
      <c r="E687" s="3">
        <v>14.69</v>
      </c>
      <c r="F687" s="3">
        <v>18.399999999999999</v>
      </c>
      <c r="G687" s="3">
        <v>23.91</v>
      </c>
      <c r="H687" s="3">
        <v>-11.54</v>
      </c>
      <c r="I687" s="3">
        <v>29.94</v>
      </c>
    </row>
    <row r="688" spans="1:9" ht="15" customHeight="1" x14ac:dyDescent="0.25">
      <c r="A688" s="2" t="s">
        <v>84</v>
      </c>
      <c r="B688" s="2" t="s">
        <v>179</v>
      </c>
      <c r="C688" s="2" t="s">
        <v>180</v>
      </c>
      <c r="D688" s="4">
        <v>37</v>
      </c>
      <c r="E688" s="3">
        <v>25.31</v>
      </c>
      <c r="F688" s="3">
        <v>936.47</v>
      </c>
      <c r="G688" s="3">
        <v>24.58</v>
      </c>
      <c r="H688" s="3">
        <v>27.15</v>
      </c>
      <c r="I688" s="3">
        <v>909.32</v>
      </c>
    </row>
    <row r="689" spans="1:9" ht="15" customHeight="1" x14ac:dyDescent="0.25">
      <c r="A689" s="2" t="s">
        <v>84</v>
      </c>
      <c r="B689" s="2" t="s">
        <v>152</v>
      </c>
      <c r="C689" s="2" t="s">
        <v>230</v>
      </c>
      <c r="D689" s="4">
        <v>52.696771042000002</v>
      </c>
      <c r="E689" s="3">
        <v>7</v>
      </c>
      <c r="F689" s="3">
        <v>368.88</v>
      </c>
      <c r="G689" s="3">
        <v>21.73</v>
      </c>
      <c r="H689" s="3">
        <v>-776.05</v>
      </c>
      <c r="I689" s="3">
        <v>1144.93</v>
      </c>
    </row>
    <row r="690" spans="1:9" ht="15" customHeight="1" x14ac:dyDescent="0.25">
      <c r="A690" s="2" t="s">
        <v>84</v>
      </c>
      <c r="B690" s="2" t="s">
        <v>113</v>
      </c>
      <c r="C690" s="2" t="s">
        <v>114</v>
      </c>
      <c r="D690" s="4">
        <v>2.9389128389999999</v>
      </c>
      <c r="E690" s="3">
        <v>90.92</v>
      </c>
      <c r="F690" s="3">
        <v>267.20999999999998</v>
      </c>
      <c r="G690" s="3">
        <v>69.989999999999995</v>
      </c>
      <c r="H690" s="3">
        <v>61.53</v>
      </c>
      <c r="I690" s="3">
        <v>205.68</v>
      </c>
    </row>
    <row r="691" spans="1:9" ht="15" customHeight="1" x14ac:dyDescent="0.25">
      <c r="A691" s="2" t="s">
        <v>84</v>
      </c>
      <c r="B691" s="2" t="s">
        <v>145</v>
      </c>
      <c r="C691" s="2" t="s">
        <v>231</v>
      </c>
      <c r="D691" s="4">
        <v>50.032604388999999</v>
      </c>
      <c r="E691" s="3">
        <v>14.38</v>
      </c>
      <c r="F691" s="3">
        <v>719.47</v>
      </c>
      <c r="G691" s="3">
        <v>21.87</v>
      </c>
      <c r="H691" s="3">
        <v>-374.58</v>
      </c>
      <c r="I691" s="3">
        <v>1094.04</v>
      </c>
    </row>
    <row r="692" spans="1:9" ht="15" customHeight="1" x14ac:dyDescent="0.25">
      <c r="A692" s="2" t="s">
        <v>84</v>
      </c>
      <c r="B692" s="2" t="s">
        <v>154</v>
      </c>
      <c r="C692" s="2" t="s">
        <v>155</v>
      </c>
      <c r="D692" s="4">
        <v>5.7718583890000001</v>
      </c>
      <c r="E692" s="3">
        <v>57.61</v>
      </c>
      <c r="F692" s="3">
        <v>332.52</v>
      </c>
      <c r="G692" s="3">
        <v>60.02</v>
      </c>
      <c r="H692" s="3">
        <v>-13.91</v>
      </c>
      <c r="I692" s="3">
        <v>346.43</v>
      </c>
    </row>
    <row r="693" spans="1:9" ht="15" customHeight="1" x14ac:dyDescent="0.25">
      <c r="A693" s="2" t="s">
        <v>84</v>
      </c>
      <c r="B693" s="2" t="s">
        <v>244</v>
      </c>
      <c r="C693" s="2" t="s">
        <v>245</v>
      </c>
      <c r="D693" s="4">
        <v>2.8612031409999998</v>
      </c>
      <c r="E693" s="3">
        <v>21.46</v>
      </c>
      <c r="F693" s="3">
        <v>61.4</v>
      </c>
      <c r="G693" s="3">
        <v>21.6</v>
      </c>
      <c r="H693" s="3">
        <v>-0.4</v>
      </c>
      <c r="I693" s="3">
        <v>61.8</v>
      </c>
    </row>
    <row r="694" spans="1:9" ht="15" customHeight="1" x14ac:dyDescent="0.25">
      <c r="A694" s="2" t="s">
        <v>84</v>
      </c>
      <c r="B694" s="2" t="s">
        <v>129</v>
      </c>
      <c r="C694" s="2" t="s">
        <v>130</v>
      </c>
      <c r="D694" s="4">
        <v>54</v>
      </c>
      <c r="E694" s="3">
        <v>49.85</v>
      </c>
      <c r="F694" s="3">
        <v>2692.16</v>
      </c>
      <c r="G694" s="3">
        <v>50.2</v>
      </c>
      <c r="H694" s="3">
        <v>-18.43</v>
      </c>
      <c r="I694" s="3">
        <v>2710.59</v>
      </c>
    </row>
    <row r="695" spans="1:9" ht="15" customHeight="1" x14ac:dyDescent="0.25">
      <c r="A695" s="2" t="s">
        <v>84</v>
      </c>
      <c r="B695" s="2" t="s">
        <v>175</v>
      </c>
      <c r="C695" s="2" t="s">
        <v>176</v>
      </c>
      <c r="D695" s="4">
        <v>3.8846929480000001</v>
      </c>
      <c r="E695" s="3">
        <v>168.45</v>
      </c>
      <c r="F695" s="3">
        <v>654.38</v>
      </c>
      <c r="G695" s="3">
        <v>75.56</v>
      </c>
      <c r="H695" s="3">
        <v>360.85</v>
      </c>
      <c r="I695" s="3">
        <v>293.52999999999997</v>
      </c>
    </row>
    <row r="696" spans="1:9" ht="15" customHeight="1" x14ac:dyDescent="0.25">
      <c r="A696" s="2" t="s">
        <v>84</v>
      </c>
      <c r="B696" s="2" t="s">
        <v>194</v>
      </c>
      <c r="C696" s="2" t="s">
        <v>232</v>
      </c>
      <c r="D696" s="4">
        <v>11</v>
      </c>
      <c r="E696" s="3">
        <v>53.45</v>
      </c>
      <c r="F696" s="3">
        <v>587.95000000000005</v>
      </c>
      <c r="G696" s="3">
        <v>69.069999999999993</v>
      </c>
      <c r="H696" s="3">
        <v>-171.79</v>
      </c>
      <c r="I696" s="3">
        <v>759.74</v>
      </c>
    </row>
    <row r="697" spans="1:9" ht="15" customHeight="1" x14ac:dyDescent="0.25">
      <c r="A697" s="2" t="s">
        <v>84</v>
      </c>
      <c r="B697" s="2" t="s">
        <v>233</v>
      </c>
      <c r="C697" s="2" t="s">
        <v>234</v>
      </c>
      <c r="D697" s="4">
        <v>2.7847254929999998</v>
      </c>
      <c r="E697" s="3">
        <v>42.14</v>
      </c>
      <c r="F697" s="3">
        <v>117.35</v>
      </c>
      <c r="G697" s="3">
        <v>48.4</v>
      </c>
      <c r="H697" s="3">
        <v>-17.43</v>
      </c>
      <c r="I697" s="3">
        <v>134.78</v>
      </c>
    </row>
    <row r="698" spans="1:9" ht="15" customHeight="1" x14ac:dyDescent="0.25">
      <c r="A698" s="2" t="s">
        <v>84</v>
      </c>
      <c r="B698" s="2" t="s">
        <v>213</v>
      </c>
      <c r="C698" s="2" t="s">
        <v>214</v>
      </c>
      <c r="D698" s="4">
        <v>13.794032971</v>
      </c>
      <c r="E698" s="3">
        <v>27.59</v>
      </c>
      <c r="F698" s="3">
        <v>380.58</v>
      </c>
      <c r="G698" s="3">
        <v>27.08</v>
      </c>
      <c r="H698" s="3">
        <v>7.03</v>
      </c>
      <c r="I698" s="3">
        <v>373.54</v>
      </c>
    </row>
    <row r="699" spans="1:9" ht="15" customHeight="1" x14ac:dyDescent="0.25">
      <c r="A699" s="2" t="s">
        <v>84</v>
      </c>
      <c r="B699" s="2" t="s">
        <v>196</v>
      </c>
      <c r="C699" s="2" t="s">
        <v>197</v>
      </c>
      <c r="D699" s="4">
        <v>21.442677926999998</v>
      </c>
      <c r="E699" s="3">
        <v>24.23</v>
      </c>
      <c r="F699" s="3">
        <v>519.55999999999995</v>
      </c>
      <c r="G699" s="3">
        <v>22.6</v>
      </c>
      <c r="H699" s="3">
        <v>35.04</v>
      </c>
      <c r="I699" s="3">
        <v>484.52</v>
      </c>
    </row>
    <row r="700" spans="1:9" ht="15" customHeight="1" x14ac:dyDescent="0.25">
      <c r="A700" s="2" t="s">
        <v>84</v>
      </c>
      <c r="B700" s="2" t="s">
        <v>119</v>
      </c>
      <c r="C700" s="2" t="s">
        <v>120</v>
      </c>
      <c r="D700" s="4">
        <v>45.747440206</v>
      </c>
      <c r="E700" s="3">
        <v>100.67</v>
      </c>
      <c r="F700" s="3">
        <v>4605.3900000000003</v>
      </c>
      <c r="G700" s="3">
        <v>100.31</v>
      </c>
      <c r="H700" s="3">
        <v>16.440000000000001</v>
      </c>
      <c r="I700" s="3">
        <v>4588.95</v>
      </c>
    </row>
    <row r="701" spans="1:9" ht="15" customHeight="1" x14ac:dyDescent="0.25">
      <c r="A701" s="2" t="s">
        <v>84</v>
      </c>
      <c r="B701" s="2" t="s">
        <v>115</v>
      </c>
      <c r="C701" s="2" t="s">
        <v>116</v>
      </c>
      <c r="D701" s="4">
        <v>58.920814186999998</v>
      </c>
      <c r="E701" s="3">
        <v>110.45</v>
      </c>
      <c r="F701" s="3">
        <v>6507.8</v>
      </c>
      <c r="G701" s="3">
        <v>110.07</v>
      </c>
      <c r="H701" s="3">
        <v>22.16</v>
      </c>
      <c r="I701" s="3">
        <v>6485.64</v>
      </c>
    </row>
    <row r="702" spans="1:9" ht="15" customHeight="1" x14ac:dyDescent="0.25">
      <c r="A702" s="2" t="s">
        <v>84</v>
      </c>
      <c r="B702" s="2" t="s">
        <v>181</v>
      </c>
      <c r="C702" s="2" t="s">
        <v>182</v>
      </c>
      <c r="D702" s="4">
        <v>9.5861616040000008</v>
      </c>
      <c r="E702" s="3">
        <v>21.26</v>
      </c>
      <c r="F702" s="3">
        <v>203.8</v>
      </c>
      <c r="G702" s="3">
        <v>26.04</v>
      </c>
      <c r="H702" s="3">
        <v>-45.8</v>
      </c>
      <c r="I702" s="3">
        <v>249.6</v>
      </c>
    </row>
    <row r="703" spans="1:9" ht="15" customHeight="1" x14ac:dyDescent="0.25">
      <c r="A703" s="2" t="s">
        <v>84</v>
      </c>
      <c r="B703" s="2" t="s">
        <v>162</v>
      </c>
      <c r="C703" s="2" t="s">
        <v>246</v>
      </c>
      <c r="D703" s="4">
        <v>47.526499856999997</v>
      </c>
      <c r="E703" s="3">
        <v>25.46</v>
      </c>
      <c r="F703" s="3">
        <v>1210.02</v>
      </c>
      <c r="G703" s="3">
        <v>25.29</v>
      </c>
      <c r="H703" s="3">
        <v>8.15</v>
      </c>
      <c r="I703" s="3">
        <v>1201.8800000000001</v>
      </c>
    </row>
    <row r="704" spans="1:9" ht="15" customHeight="1" x14ac:dyDescent="0.25">
      <c r="A704" s="2" t="s">
        <v>84</v>
      </c>
      <c r="B704" s="2" t="s">
        <v>222</v>
      </c>
      <c r="C704" s="2" t="s">
        <v>223</v>
      </c>
      <c r="D704" s="4">
        <v>13.370193596</v>
      </c>
      <c r="E704" s="3">
        <v>5.2</v>
      </c>
      <c r="F704" s="3">
        <v>69.53</v>
      </c>
      <c r="G704" s="3">
        <v>3.73</v>
      </c>
      <c r="H704" s="3">
        <v>19.66</v>
      </c>
      <c r="I704" s="3">
        <v>49.86</v>
      </c>
    </row>
    <row r="705" spans="1:9" ht="15" customHeight="1" x14ac:dyDescent="0.25">
      <c r="A705" s="2" t="s">
        <v>84</v>
      </c>
      <c r="B705" s="2" t="s">
        <v>177</v>
      </c>
      <c r="C705" s="2" t="s">
        <v>178</v>
      </c>
      <c r="D705" s="4">
        <v>1.061371047</v>
      </c>
      <c r="E705" s="3">
        <v>291.51</v>
      </c>
      <c r="F705" s="3">
        <v>309.39999999999998</v>
      </c>
      <c r="G705" s="3">
        <v>209.15</v>
      </c>
      <c r="H705" s="3">
        <v>87.41</v>
      </c>
      <c r="I705" s="3">
        <v>221.99</v>
      </c>
    </row>
    <row r="706" spans="1:9" ht="15" customHeight="1" x14ac:dyDescent="0.25">
      <c r="A706" s="2" t="s">
        <v>84</v>
      </c>
      <c r="B706" s="2" t="s">
        <v>235</v>
      </c>
      <c r="C706" s="2" t="s">
        <v>236</v>
      </c>
      <c r="D706" s="4">
        <v>0.71350215900000002</v>
      </c>
      <c r="E706" s="3">
        <v>329.77</v>
      </c>
      <c r="F706" s="3">
        <v>235.29</v>
      </c>
      <c r="G706" s="3">
        <v>307.85000000000002</v>
      </c>
      <c r="H706" s="3">
        <v>15.64</v>
      </c>
      <c r="I706" s="3">
        <v>219.65</v>
      </c>
    </row>
    <row r="707" spans="1:9" ht="15" customHeight="1" x14ac:dyDescent="0.25">
      <c r="A707" s="2" t="s">
        <v>84</v>
      </c>
      <c r="B707" s="2" t="s">
        <v>190</v>
      </c>
      <c r="C707" s="2" t="s">
        <v>191</v>
      </c>
      <c r="D707" s="4">
        <v>27</v>
      </c>
      <c r="E707" s="3">
        <v>24.62</v>
      </c>
      <c r="F707" s="3">
        <v>664.74</v>
      </c>
      <c r="G707" s="3">
        <v>24.98</v>
      </c>
      <c r="H707" s="3">
        <v>-9.74</v>
      </c>
      <c r="I707" s="3">
        <v>674.48</v>
      </c>
    </row>
    <row r="708" spans="1:9" ht="15" customHeight="1" x14ac:dyDescent="0.25">
      <c r="A708" s="2" t="s">
        <v>84</v>
      </c>
      <c r="B708" s="2" t="s">
        <v>136</v>
      </c>
      <c r="C708" s="2" t="s">
        <v>151</v>
      </c>
      <c r="D708" s="4">
        <v>58.844864151000003</v>
      </c>
      <c r="E708" s="3">
        <v>25.08</v>
      </c>
      <c r="F708" s="3">
        <v>1475.53</v>
      </c>
      <c r="G708" s="3">
        <v>25.08</v>
      </c>
      <c r="H708" s="3">
        <v>-0.2</v>
      </c>
      <c r="I708" s="3">
        <v>1475.74</v>
      </c>
    </row>
    <row r="709" spans="1:9" ht="15" customHeight="1" x14ac:dyDescent="0.25">
      <c r="A709" s="2" t="s">
        <v>84</v>
      </c>
      <c r="B709" s="2" t="s">
        <v>164</v>
      </c>
      <c r="C709" s="2" t="s">
        <v>237</v>
      </c>
      <c r="D709" s="4">
        <v>32.707712825999998</v>
      </c>
      <c r="E709" s="3">
        <v>10.69</v>
      </c>
      <c r="F709" s="3">
        <v>349.65</v>
      </c>
      <c r="G709" s="3">
        <v>17.149999999999999</v>
      </c>
      <c r="H709" s="3">
        <v>-211.16</v>
      </c>
      <c r="I709" s="3">
        <v>560.79999999999995</v>
      </c>
    </row>
    <row r="710" spans="1:9" ht="15" customHeight="1" x14ac:dyDescent="0.25">
      <c r="A710" s="2" t="s">
        <v>86</v>
      </c>
      <c r="B710" s="2" t="s">
        <v>104</v>
      </c>
      <c r="C710" s="2" t="s">
        <v>105</v>
      </c>
      <c r="D710" s="4" t="s">
        <v>106</v>
      </c>
      <c r="E710" s="3"/>
      <c r="F710" s="3">
        <v>131.41999999999999</v>
      </c>
      <c r="G710" s="3"/>
      <c r="H710" s="3"/>
      <c r="I710" s="3"/>
    </row>
    <row r="711" spans="1:9" ht="15" customHeight="1" x14ac:dyDescent="0.25">
      <c r="A711" s="2" t="s">
        <v>86</v>
      </c>
      <c r="B711" s="2" t="s">
        <v>192</v>
      </c>
      <c r="C711" s="2" t="s">
        <v>193</v>
      </c>
      <c r="D711" s="4">
        <v>5.7442886270000004</v>
      </c>
      <c r="E711" s="3">
        <v>50.86</v>
      </c>
      <c r="F711" s="3">
        <v>292.14999999999998</v>
      </c>
      <c r="G711" s="3">
        <v>46.39</v>
      </c>
      <c r="H711" s="3">
        <v>25.7</v>
      </c>
      <c r="I711" s="3">
        <v>266.45999999999998</v>
      </c>
    </row>
    <row r="712" spans="1:9" ht="15" customHeight="1" x14ac:dyDescent="0.25">
      <c r="A712" s="2" t="s">
        <v>86</v>
      </c>
      <c r="B712" s="2" t="s">
        <v>215</v>
      </c>
      <c r="C712" s="2" t="s">
        <v>180</v>
      </c>
      <c r="D712" s="4">
        <v>26</v>
      </c>
      <c r="E712" s="3">
        <v>28.36</v>
      </c>
      <c r="F712" s="3">
        <v>737.44</v>
      </c>
      <c r="G712" s="3">
        <v>29.11</v>
      </c>
      <c r="H712" s="3">
        <v>-19.36</v>
      </c>
      <c r="I712" s="3">
        <v>756.79</v>
      </c>
    </row>
    <row r="713" spans="1:9" ht="15" customHeight="1" x14ac:dyDescent="0.25">
      <c r="A713" s="2" t="s">
        <v>86</v>
      </c>
      <c r="B713" s="2" t="s">
        <v>111</v>
      </c>
      <c r="C713" s="2" t="s">
        <v>131</v>
      </c>
      <c r="D713" s="4">
        <v>1.658571494</v>
      </c>
      <c r="E713" s="3">
        <v>109.31</v>
      </c>
      <c r="F713" s="3">
        <v>181.3</v>
      </c>
      <c r="G713" s="3">
        <v>120.02</v>
      </c>
      <c r="H713" s="3">
        <v>-17.77</v>
      </c>
      <c r="I713" s="3">
        <v>199.07</v>
      </c>
    </row>
    <row r="714" spans="1:9" ht="15" customHeight="1" x14ac:dyDescent="0.25">
      <c r="A714" s="2" t="s">
        <v>86</v>
      </c>
      <c r="B714" s="2" t="s">
        <v>240</v>
      </c>
      <c r="C714" s="2" t="s">
        <v>241</v>
      </c>
      <c r="D714" s="4">
        <v>3.177861322</v>
      </c>
      <c r="E714" s="3">
        <v>71.45</v>
      </c>
      <c r="F714" s="3">
        <v>227.06</v>
      </c>
      <c r="G714" s="3">
        <v>75.400000000000006</v>
      </c>
      <c r="H714" s="3">
        <v>-12.56</v>
      </c>
      <c r="I714" s="3">
        <v>239.62</v>
      </c>
    </row>
    <row r="715" spans="1:9" ht="15" customHeight="1" x14ac:dyDescent="0.25">
      <c r="A715" s="2" t="s">
        <v>86</v>
      </c>
      <c r="B715" s="2" t="s">
        <v>183</v>
      </c>
      <c r="C715" s="2" t="s">
        <v>184</v>
      </c>
      <c r="D715" s="4">
        <v>21.603664298999998</v>
      </c>
      <c r="E715" s="3">
        <v>26.48</v>
      </c>
      <c r="F715" s="3">
        <v>572.07000000000005</v>
      </c>
      <c r="G715" s="3">
        <v>26.68</v>
      </c>
      <c r="H715" s="3">
        <v>-4.26</v>
      </c>
      <c r="I715" s="3">
        <v>576.33000000000004</v>
      </c>
    </row>
    <row r="716" spans="1:9" ht="15" customHeight="1" x14ac:dyDescent="0.25">
      <c r="A716" s="2" t="s">
        <v>86</v>
      </c>
      <c r="B716" s="2" t="s">
        <v>140</v>
      </c>
      <c r="C716" s="2" t="s">
        <v>224</v>
      </c>
      <c r="D716" s="4">
        <v>10.759141935000001</v>
      </c>
      <c r="E716" s="3">
        <v>39.35</v>
      </c>
      <c r="F716" s="3">
        <v>423.37</v>
      </c>
      <c r="G716" s="3">
        <v>130.37</v>
      </c>
      <c r="H716" s="3">
        <v>-979.25</v>
      </c>
      <c r="I716" s="3">
        <v>1402.62</v>
      </c>
    </row>
    <row r="717" spans="1:9" ht="15" customHeight="1" x14ac:dyDescent="0.25">
      <c r="A717" s="2" t="s">
        <v>86</v>
      </c>
      <c r="B717" s="2" t="s">
        <v>225</v>
      </c>
      <c r="C717" s="2" t="s">
        <v>226</v>
      </c>
      <c r="D717" s="4">
        <v>9.5098942809999993</v>
      </c>
      <c r="E717" s="3">
        <v>31.16</v>
      </c>
      <c r="F717" s="3">
        <v>296.33</v>
      </c>
      <c r="G717" s="3">
        <v>30.13</v>
      </c>
      <c r="H717" s="3">
        <v>9.7899999999999991</v>
      </c>
      <c r="I717" s="3">
        <v>286.52999999999997</v>
      </c>
    </row>
    <row r="718" spans="1:9" ht="15" customHeight="1" x14ac:dyDescent="0.25">
      <c r="A718" s="2" t="s">
        <v>86</v>
      </c>
      <c r="B718" s="2" t="s">
        <v>158</v>
      </c>
      <c r="C718" s="2" t="s">
        <v>227</v>
      </c>
      <c r="D718" s="4">
        <v>22.895187904</v>
      </c>
      <c r="E718" s="3">
        <v>12.61</v>
      </c>
      <c r="F718" s="3">
        <v>288.70999999999998</v>
      </c>
      <c r="G718" s="3">
        <v>17.399999999999999</v>
      </c>
      <c r="H718" s="3">
        <v>-109.77</v>
      </c>
      <c r="I718" s="3">
        <v>398.48</v>
      </c>
    </row>
    <row r="719" spans="1:9" ht="15" customHeight="1" x14ac:dyDescent="0.25">
      <c r="A719" s="2" t="s">
        <v>86</v>
      </c>
      <c r="B719" s="2" t="s">
        <v>204</v>
      </c>
      <c r="C719" s="2" t="s">
        <v>205</v>
      </c>
      <c r="D719" s="4">
        <v>34</v>
      </c>
      <c r="E719" s="3">
        <v>2.93</v>
      </c>
      <c r="F719" s="3">
        <v>99.45</v>
      </c>
      <c r="G719" s="3">
        <v>6.44</v>
      </c>
      <c r="H719" s="3">
        <v>-119.64</v>
      </c>
      <c r="I719" s="3">
        <v>219.09</v>
      </c>
    </row>
    <row r="720" spans="1:9" ht="15" customHeight="1" x14ac:dyDescent="0.25">
      <c r="A720" s="2" t="s">
        <v>86</v>
      </c>
      <c r="B720" s="2" t="s">
        <v>166</v>
      </c>
      <c r="C720" s="2" t="s">
        <v>167</v>
      </c>
      <c r="D720" s="4">
        <v>15.563871869</v>
      </c>
      <c r="E720" s="3">
        <v>50.86</v>
      </c>
      <c r="F720" s="3">
        <v>791.58</v>
      </c>
      <c r="G720" s="3">
        <v>50.85</v>
      </c>
      <c r="H720" s="3">
        <v>0.16</v>
      </c>
      <c r="I720" s="3">
        <v>791.42</v>
      </c>
    </row>
    <row r="721" spans="1:9" ht="15" customHeight="1" x14ac:dyDescent="0.25">
      <c r="A721" s="2" t="s">
        <v>86</v>
      </c>
      <c r="B721" s="2" t="s">
        <v>170</v>
      </c>
      <c r="C721" s="2" t="s">
        <v>228</v>
      </c>
      <c r="D721" s="4">
        <v>14.644582574999999</v>
      </c>
      <c r="E721" s="3">
        <v>47.14</v>
      </c>
      <c r="F721" s="3">
        <v>690.27</v>
      </c>
      <c r="G721" s="3">
        <v>47.39</v>
      </c>
      <c r="H721" s="3">
        <v>-3.73</v>
      </c>
      <c r="I721" s="3">
        <v>694</v>
      </c>
    </row>
    <row r="722" spans="1:9" ht="15" customHeight="1" x14ac:dyDescent="0.25">
      <c r="A722" s="2" t="s">
        <v>86</v>
      </c>
      <c r="B722" s="2" t="s">
        <v>127</v>
      </c>
      <c r="C722" s="2" t="s">
        <v>128</v>
      </c>
      <c r="D722" s="4">
        <v>127.519579225</v>
      </c>
      <c r="E722" s="3">
        <v>25.48</v>
      </c>
      <c r="F722" s="3">
        <v>3249.2</v>
      </c>
      <c r="G722" s="3">
        <v>25.4</v>
      </c>
      <c r="H722" s="3">
        <v>10.31</v>
      </c>
      <c r="I722" s="3">
        <v>3238.89</v>
      </c>
    </row>
    <row r="723" spans="1:9" ht="15" customHeight="1" x14ac:dyDescent="0.25">
      <c r="A723" s="2" t="s">
        <v>86</v>
      </c>
      <c r="B723" s="2" t="s">
        <v>132</v>
      </c>
      <c r="C723" s="2" t="s">
        <v>229</v>
      </c>
      <c r="D723" s="4">
        <v>74</v>
      </c>
      <c r="E723" s="3">
        <v>14.6</v>
      </c>
      <c r="F723" s="3">
        <v>1080.4000000000001</v>
      </c>
      <c r="G723" s="3">
        <v>15.23</v>
      </c>
      <c r="H723" s="3">
        <v>-46.77</v>
      </c>
      <c r="I723" s="3">
        <v>1127.17</v>
      </c>
    </row>
    <row r="724" spans="1:9" ht="15" customHeight="1" x14ac:dyDescent="0.25">
      <c r="A724" s="2" t="s">
        <v>86</v>
      </c>
      <c r="B724" s="2" t="s">
        <v>216</v>
      </c>
      <c r="C724" s="2" t="s">
        <v>217</v>
      </c>
      <c r="D724" s="4">
        <v>1.3964005960000001</v>
      </c>
      <c r="E724" s="3">
        <v>24.02</v>
      </c>
      <c r="F724" s="3">
        <v>33.54</v>
      </c>
      <c r="G724" s="3">
        <v>21.45</v>
      </c>
      <c r="H724" s="3">
        <v>3.59</v>
      </c>
      <c r="I724" s="3">
        <v>29.95</v>
      </c>
    </row>
    <row r="725" spans="1:9" ht="15" customHeight="1" x14ac:dyDescent="0.25">
      <c r="A725" s="2" t="s">
        <v>86</v>
      </c>
      <c r="B725" s="2" t="s">
        <v>134</v>
      </c>
      <c r="C725" s="2" t="s">
        <v>142</v>
      </c>
      <c r="D725" s="4">
        <v>85.683522210000007</v>
      </c>
      <c r="E725" s="3">
        <v>25.55</v>
      </c>
      <c r="F725" s="3">
        <v>2189.21</v>
      </c>
      <c r="G725" s="3">
        <v>25.62</v>
      </c>
      <c r="H725" s="3">
        <v>-5.84</v>
      </c>
      <c r="I725" s="3">
        <v>2195.06</v>
      </c>
    </row>
    <row r="726" spans="1:9" ht="15" customHeight="1" x14ac:dyDescent="0.25">
      <c r="A726" s="2" t="s">
        <v>86</v>
      </c>
      <c r="B726" s="2" t="s">
        <v>143</v>
      </c>
      <c r="C726" s="2" t="s">
        <v>144</v>
      </c>
      <c r="D726" s="4">
        <v>57.027593402000001</v>
      </c>
      <c r="E726" s="3">
        <v>50.58</v>
      </c>
      <c r="F726" s="3">
        <v>2884.46</v>
      </c>
      <c r="G726" s="3">
        <v>50.68</v>
      </c>
      <c r="H726" s="3">
        <v>-5.44</v>
      </c>
      <c r="I726" s="3">
        <v>2889.9</v>
      </c>
    </row>
    <row r="727" spans="1:9" ht="15" customHeight="1" x14ac:dyDescent="0.25">
      <c r="A727" s="2" t="s">
        <v>86</v>
      </c>
      <c r="B727" s="2" t="s">
        <v>185</v>
      </c>
      <c r="C727" s="2" t="s">
        <v>186</v>
      </c>
      <c r="D727" s="4">
        <v>7.1676907769999998</v>
      </c>
      <c r="E727" s="3">
        <v>47.7</v>
      </c>
      <c r="F727" s="3">
        <v>341.9</v>
      </c>
      <c r="G727" s="3">
        <v>48.09</v>
      </c>
      <c r="H727" s="3">
        <v>-2.82</v>
      </c>
      <c r="I727" s="3">
        <v>344.72</v>
      </c>
    </row>
    <row r="728" spans="1:9" ht="15" customHeight="1" x14ac:dyDescent="0.25">
      <c r="A728" s="2" t="s">
        <v>86</v>
      </c>
      <c r="B728" s="2" t="s">
        <v>218</v>
      </c>
      <c r="C728" s="2" t="s">
        <v>219</v>
      </c>
      <c r="D728" s="4">
        <v>10.249357830999999</v>
      </c>
      <c r="E728" s="3">
        <v>58.12</v>
      </c>
      <c r="F728" s="3">
        <v>595.69000000000005</v>
      </c>
      <c r="G728" s="3">
        <v>55.9</v>
      </c>
      <c r="H728" s="3">
        <v>22.77</v>
      </c>
      <c r="I728" s="3">
        <v>572.92999999999995</v>
      </c>
    </row>
    <row r="729" spans="1:9" ht="15" customHeight="1" x14ac:dyDescent="0.25">
      <c r="A729" s="2" t="s">
        <v>86</v>
      </c>
      <c r="B729" s="2" t="s">
        <v>121</v>
      </c>
      <c r="C729" s="2" t="s">
        <v>172</v>
      </c>
      <c r="D729" s="4">
        <v>43.278305416999999</v>
      </c>
      <c r="E729" s="3">
        <v>30</v>
      </c>
      <c r="F729" s="3">
        <v>1298.3499999999999</v>
      </c>
      <c r="G729" s="3">
        <v>38.25</v>
      </c>
      <c r="H729" s="3">
        <v>-356.92</v>
      </c>
      <c r="I729" s="3">
        <v>1655.27</v>
      </c>
    </row>
    <row r="730" spans="1:9" ht="15" customHeight="1" x14ac:dyDescent="0.25">
      <c r="A730" s="2" t="s">
        <v>86</v>
      </c>
      <c r="B730" s="2" t="s">
        <v>173</v>
      </c>
      <c r="C730" s="2" t="s">
        <v>174</v>
      </c>
      <c r="D730" s="4">
        <v>3.147079266</v>
      </c>
      <c r="E730" s="3">
        <v>69.91</v>
      </c>
      <c r="F730" s="3">
        <v>220.01</v>
      </c>
      <c r="G730" s="3">
        <v>63.45</v>
      </c>
      <c r="H730" s="3">
        <v>20.34</v>
      </c>
      <c r="I730" s="3">
        <v>199.68</v>
      </c>
    </row>
    <row r="731" spans="1:9" ht="15" customHeight="1" x14ac:dyDescent="0.25">
      <c r="A731" s="2" t="s">
        <v>86</v>
      </c>
      <c r="B731" s="2" t="s">
        <v>242</v>
      </c>
      <c r="C731" s="2" t="s">
        <v>243</v>
      </c>
      <c r="D731" s="4">
        <v>7.874658771</v>
      </c>
      <c r="E731" s="3">
        <v>8.98</v>
      </c>
      <c r="F731" s="3">
        <v>70.709999999999994</v>
      </c>
      <c r="G731" s="3">
        <v>19.05</v>
      </c>
      <c r="H731" s="3">
        <v>-79.290000000000006</v>
      </c>
      <c r="I731" s="3">
        <v>150</v>
      </c>
    </row>
    <row r="732" spans="1:9" ht="15" customHeight="1" x14ac:dyDescent="0.25">
      <c r="A732" s="2" t="s">
        <v>86</v>
      </c>
      <c r="B732" s="2" t="s">
        <v>206</v>
      </c>
      <c r="C732" s="2" t="s">
        <v>207</v>
      </c>
      <c r="D732" s="4">
        <v>1.2524052530000001</v>
      </c>
      <c r="E732" s="3">
        <v>16.23</v>
      </c>
      <c r="F732" s="3">
        <v>20.329999999999998</v>
      </c>
      <c r="G732" s="3">
        <v>23.91</v>
      </c>
      <c r="H732" s="3">
        <v>-9.61</v>
      </c>
      <c r="I732" s="3">
        <v>29.94</v>
      </c>
    </row>
    <row r="733" spans="1:9" ht="15" customHeight="1" x14ac:dyDescent="0.25">
      <c r="A733" s="2" t="s">
        <v>86</v>
      </c>
      <c r="B733" s="2" t="s">
        <v>179</v>
      </c>
      <c r="C733" s="2" t="s">
        <v>180</v>
      </c>
      <c r="D733" s="4">
        <v>38</v>
      </c>
      <c r="E733" s="3">
        <v>24.25</v>
      </c>
      <c r="F733" s="3">
        <v>921.5</v>
      </c>
      <c r="G733" s="3">
        <v>24.55</v>
      </c>
      <c r="H733" s="3">
        <v>-11.58</v>
      </c>
      <c r="I733" s="3">
        <v>933.08</v>
      </c>
    </row>
    <row r="734" spans="1:9" ht="15" customHeight="1" x14ac:dyDescent="0.25">
      <c r="A734" s="2" t="s">
        <v>86</v>
      </c>
      <c r="B734" s="2" t="s">
        <v>152</v>
      </c>
      <c r="C734" s="2" t="s">
        <v>230</v>
      </c>
      <c r="D734" s="4">
        <v>11.85548324</v>
      </c>
      <c r="E734" s="3">
        <v>29.6</v>
      </c>
      <c r="F734" s="3">
        <v>350.92</v>
      </c>
      <c r="G734" s="3">
        <v>100.53</v>
      </c>
      <c r="H734" s="3">
        <v>-840.92</v>
      </c>
      <c r="I734" s="3">
        <v>1191.8499999999999</v>
      </c>
    </row>
    <row r="735" spans="1:9" ht="15" customHeight="1" x14ac:dyDescent="0.25">
      <c r="A735" s="2" t="s">
        <v>86</v>
      </c>
      <c r="B735" s="2" t="s">
        <v>113</v>
      </c>
      <c r="C735" s="2" t="s">
        <v>114</v>
      </c>
      <c r="D735" s="4">
        <v>2.9389128389999999</v>
      </c>
      <c r="E735" s="3">
        <v>97.13</v>
      </c>
      <c r="F735" s="3">
        <v>285.45999999999998</v>
      </c>
      <c r="G735" s="3">
        <v>69.989999999999995</v>
      </c>
      <c r="H735" s="3">
        <v>79.78</v>
      </c>
      <c r="I735" s="3">
        <v>205.68</v>
      </c>
    </row>
    <row r="736" spans="1:9" ht="15" customHeight="1" x14ac:dyDescent="0.25">
      <c r="A736" s="2" t="s">
        <v>86</v>
      </c>
      <c r="B736" s="2" t="s">
        <v>145</v>
      </c>
      <c r="C736" s="2" t="s">
        <v>231</v>
      </c>
      <c r="D736" s="4">
        <v>53.212463429000003</v>
      </c>
      <c r="E736" s="3">
        <v>14.61</v>
      </c>
      <c r="F736" s="3">
        <v>777.43</v>
      </c>
      <c r="G736" s="3">
        <v>21.44</v>
      </c>
      <c r="H736" s="3">
        <v>-363.53</v>
      </c>
      <c r="I736" s="3">
        <v>1140.97</v>
      </c>
    </row>
    <row r="737" spans="1:9" ht="15" customHeight="1" x14ac:dyDescent="0.25">
      <c r="A737" s="2" t="s">
        <v>86</v>
      </c>
      <c r="B737" s="2" t="s">
        <v>154</v>
      </c>
      <c r="C737" s="2" t="s">
        <v>155</v>
      </c>
      <c r="D737" s="4">
        <v>7.0077995360000003</v>
      </c>
      <c r="E737" s="3">
        <v>56.37</v>
      </c>
      <c r="F737" s="3">
        <v>395.03</v>
      </c>
      <c r="G737" s="3">
        <v>59.41</v>
      </c>
      <c r="H737" s="3">
        <v>-21.29</v>
      </c>
      <c r="I737" s="3">
        <v>416.32</v>
      </c>
    </row>
    <row r="738" spans="1:9" ht="15" customHeight="1" x14ac:dyDescent="0.25">
      <c r="A738" s="2" t="s">
        <v>86</v>
      </c>
      <c r="B738" s="2" t="s">
        <v>244</v>
      </c>
      <c r="C738" s="2" t="s">
        <v>245</v>
      </c>
      <c r="D738" s="4">
        <v>2.8612031409999998</v>
      </c>
      <c r="E738" s="3">
        <v>21.55</v>
      </c>
      <c r="F738" s="3">
        <v>61.66</v>
      </c>
      <c r="G738" s="3">
        <v>21.6</v>
      </c>
      <c r="H738" s="3">
        <v>-0.15</v>
      </c>
      <c r="I738" s="3">
        <v>61.8</v>
      </c>
    </row>
    <row r="739" spans="1:9" ht="15" customHeight="1" x14ac:dyDescent="0.25">
      <c r="A739" s="2" t="s">
        <v>86</v>
      </c>
      <c r="B739" s="2" t="s">
        <v>129</v>
      </c>
      <c r="C739" s="2" t="s">
        <v>130</v>
      </c>
      <c r="D739" s="4">
        <v>57</v>
      </c>
      <c r="E739" s="3">
        <v>49.68</v>
      </c>
      <c r="F739" s="3">
        <v>2831.76</v>
      </c>
      <c r="G739" s="3">
        <v>50.17</v>
      </c>
      <c r="H739" s="3">
        <v>-27.81</v>
      </c>
      <c r="I739" s="3">
        <v>2859.57</v>
      </c>
    </row>
    <row r="740" spans="1:9" ht="15" customHeight="1" x14ac:dyDescent="0.25">
      <c r="A740" s="2" t="s">
        <v>86</v>
      </c>
      <c r="B740" s="2" t="s">
        <v>175</v>
      </c>
      <c r="C740" s="2" t="s">
        <v>176</v>
      </c>
      <c r="D740" s="4">
        <v>3.8846929480000001</v>
      </c>
      <c r="E740" s="3">
        <v>177.75</v>
      </c>
      <c r="F740" s="3">
        <v>690.5</v>
      </c>
      <c r="G740" s="3">
        <v>75.56</v>
      </c>
      <c r="H740" s="3">
        <v>396.97</v>
      </c>
      <c r="I740" s="3">
        <v>293.52999999999997</v>
      </c>
    </row>
    <row r="741" spans="1:9" ht="15" customHeight="1" x14ac:dyDescent="0.25">
      <c r="A741" s="2" t="s">
        <v>86</v>
      </c>
      <c r="B741" s="2" t="s">
        <v>194</v>
      </c>
      <c r="C741" s="2" t="s">
        <v>232</v>
      </c>
      <c r="D741" s="4">
        <v>12</v>
      </c>
      <c r="E741" s="3">
        <v>51.55</v>
      </c>
      <c r="F741" s="3">
        <v>618.6</v>
      </c>
      <c r="G741" s="3">
        <v>67.89</v>
      </c>
      <c r="H741" s="3">
        <v>-196.11</v>
      </c>
      <c r="I741" s="3">
        <v>814.71</v>
      </c>
    </row>
    <row r="742" spans="1:9" ht="15" customHeight="1" x14ac:dyDescent="0.25">
      <c r="A742" s="2" t="s">
        <v>86</v>
      </c>
      <c r="B742" s="2" t="s">
        <v>233</v>
      </c>
      <c r="C742" s="2" t="s">
        <v>234</v>
      </c>
      <c r="D742" s="4">
        <v>4.2653438039999996</v>
      </c>
      <c r="E742" s="3">
        <v>69.760000000000005</v>
      </c>
      <c r="F742" s="3">
        <v>297.55</v>
      </c>
      <c r="G742" s="3">
        <v>46.2</v>
      </c>
      <c r="H742" s="3">
        <v>100.51</v>
      </c>
      <c r="I742" s="3">
        <v>197.04</v>
      </c>
    </row>
    <row r="743" spans="1:9" ht="15" customHeight="1" x14ac:dyDescent="0.25">
      <c r="A743" s="2" t="s">
        <v>86</v>
      </c>
      <c r="B743" s="2" t="s">
        <v>213</v>
      </c>
      <c r="C743" s="2" t="s">
        <v>214</v>
      </c>
      <c r="D743" s="4">
        <v>15.966820526999999</v>
      </c>
      <c r="E743" s="3">
        <v>27.43</v>
      </c>
      <c r="F743" s="3">
        <v>437.97</v>
      </c>
      <c r="G743" s="3">
        <v>27.15</v>
      </c>
      <c r="H743" s="3">
        <v>4.53</v>
      </c>
      <c r="I743" s="3">
        <v>433.44</v>
      </c>
    </row>
    <row r="744" spans="1:9" ht="15" customHeight="1" x14ac:dyDescent="0.25">
      <c r="A744" s="2" t="s">
        <v>86</v>
      </c>
      <c r="B744" s="2" t="s">
        <v>247</v>
      </c>
      <c r="C744" s="2" t="s">
        <v>248</v>
      </c>
      <c r="D744" s="4">
        <v>12.181604728</v>
      </c>
      <c r="E744" s="3">
        <v>32.619999999999997</v>
      </c>
      <c r="F744" s="3">
        <v>397.36</v>
      </c>
      <c r="G744" s="3">
        <v>32.840000000000003</v>
      </c>
      <c r="H744" s="3">
        <v>-2.64</v>
      </c>
      <c r="I744" s="3">
        <v>400</v>
      </c>
    </row>
    <row r="745" spans="1:9" ht="15" customHeight="1" x14ac:dyDescent="0.25">
      <c r="A745" s="2" t="s">
        <v>86</v>
      </c>
      <c r="B745" s="2" t="s">
        <v>196</v>
      </c>
      <c r="C745" s="2" t="s">
        <v>197</v>
      </c>
      <c r="D745" s="4">
        <v>24.341522360999999</v>
      </c>
      <c r="E745" s="3">
        <v>24.03</v>
      </c>
      <c r="F745" s="3">
        <v>584.92999999999995</v>
      </c>
      <c r="G745" s="3">
        <v>22.78</v>
      </c>
      <c r="H745" s="3">
        <v>30.52</v>
      </c>
      <c r="I745" s="3">
        <v>554.41</v>
      </c>
    </row>
    <row r="746" spans="1:9" ht="15" customHeight="1" x14ac:dyDescent="0.25">
      <c r="A746" s="2" t="s">
        <v>86</v>
      </c>
      <c r="B746" s="2" t="s">
        <v>119</v>
      </c>
      <c r="C746" s="2" t="s">
        <v>120</v>
      </c>
      <c r="D746" s="4">
        <v>45.747440206</v>
      </c>
      <c r="E746" s="3">
        <v>100.38</v>
      </c>
      <c r="F746" s="3">
        <v>4592.13</v>
      </c>
      <c r="G746" s="3">
        <v>100.31</v>
      </c>
      <c r="H746" s="3">
        <v>3.18</v>
      </c>
      <c r="I746" s="3">
        <v>4588.95</v>
      </c>
    </row>
    <row r="747" spans="1:9" ht="15" customHeight="1" x14ac:dyDescent="0.25">
      <c r="A747" s="2" t="s">
        <v>86</v>
      </c>
      <c r="B747" s="2" t="s">
        <v>115</v>
      </c>
      <c r="C747" s="2" t="s">
        <v>249</v>
      </c>
      <c r="D747" s="4">
        <v>58.920814186999998</v>
      </c>
      <c r="E747" s="3">
        <v>110.15</v>
      </c>
      <c r="F747" s="3">
        <v>6490.13</v>
      </c>
      <c r="G747" s="3">
        <v>110.07</v>
      </c>
      <c r="H747" s="3">
        <v>4.49</v>
      </c>
      <c r="I747" s="3">
        <v>6485.64</v>
      </c>
    </row>
    <row r="748" spans="1:9" ht="15" customHeight="1" x14ac:dyDescent="0.25">
      <c r="A748" s="2" t="s">
        <v>86</v>
      </c>
      <c r="B748" s="2" t="s">
        <v>181</v>
      </c>
      <c r="C748" s="2" t="s">
        <v>182</v>
      </c>
      <c r="D748" s="4">
        <v>9.5861616040000008</v>
      </c>
      <c r="E748" s="3">
        <v>20</v>
      </c>
      <c r="F748" s="3">
        <v>191.68</v>
      </c>
      <c r="G748" s="3">
        <v>26.04</v>
      </c>
      <c r="H748" s="3">
        <v>-57.93</v>
      </c>
      <c r="I748" s="3">
        <v>249.6</v>
      </c>
    </row>
    <row r="749" spans="1:9" ht="15" customHeight="1" x14ac:dyDescent="0.25">
      <c r="A749" s="2" t="s">
        <v>86</v>
      </c>
      <c r="B749" s="2" t="s">
        <v>162</v>
      </c>
      <c r="C749" s="2" t="s">
        <v>246</v>
      </c>
      <c r="D749" s="4">
        <v>51.233788025999999</v>
      </c>
      <c r="E749" s="3">
        <v>25.32</v>
      </c>
      <c r="F749" s="3">
        <v>1297.24</v>
      </c>
      <c r="G749" s="3">
        <v>25.29</v>
      </c>
      <c r="H749" s="3">
        <v>1.51</v>
      </c>
      <c r="I749" s="3">
        <v>1295.73</v>
      </c>
    </row>
    <row r="750" spans="1:9" ht="15" customHeight="1" x14ac:dyDescent="0.25">
      <c r="A750" s="2" t="s">
        <v>86</v>
      </c>
      <c r="B750" s="2" t="s">
        <v>222</v>
      </c>
      <c r="C750" s="2" t="s">
        <v>223</v>
      </c>
      <c r="D750" s="4">
        <v>13.370193596</v>
      </c>
      <c r="E750" s="3">
        <v>4.25</v>
      </c>
      <c r="F750" s="3">
        <v>56.82</v>
      </c>
      <c r="G750" s="3">
        <v>3.73</v>
      </c>
      <c r="H750" s="3">
        <v>6.96</v>
      </c>
      <c r="I750" s="3">
        <v>49.86</v>
      </c>
    </row>
    <row r="751" spans="1:9" ht="15" customHeight="1" x14ac:dyDescent="0.25">
      <c r="A751" s="2" t="s">
        <v>86</v>
      </c>
      <c r="B751" s="2" t="s">
        <v>177</v>
      </c>
      <c r="C751" s="2" t="s">
        <v>178</v>
      </c>
      <c r="D751" s="4">
        <v>1.061371047</v>
      </c>
      <c r="E751" s="3">
        <v>303.89</v>
      </c>
      <c r="F751" s="3">
        <v>322.54000000000002</v>
      </c>
      <c r="G751" s="3">
        <v>209.15</v>
      </c>
      <c r="H751" s="3">
        <v>100.55</v>
      </c>
      <c r="I751" s="3">
        <v>221.99</v>
      </c>
    </row>
    <row r="752" spans="1:9" ht="15" customHeight="1" x14ac:dyDescent="0.25">
      <c r="A752" s="2" t="s">
        <v>86</v>
      </c>
      <c r="B752" s="2" t="s">
        <v>235</v>
      </c>
      <c r="C752" s="2" t="s">
        <v>236</v>
      </c>
      <c r="D752" s="4">
        <v>0.71350215900000002</v>
      </c>
      <c r="E752" s="3">
        <v>330.11</v>
      </c>
      <c r="F752" s="3">
        <v>235.53</v>
      </c>
      <c r="G752" s="3">
        <v>307.85000000000002</v>
      </c>
      <c r="H752" s="3">
        <v>15.88</v>
      </c>
      <c r="I752" s="3">
        <v>219.65</v>
      </c>
    </row>
    <row r="753" spans="1:9" ht="15" customHeight="1" x14ac:dyDescent="0.25">
      <c r="A753" s="2" t="s">
        <v>86</v>
      </c>
      <c r="B753" s="2" t="s">
        <v>190</v>
      </c>
      <c r="C753" s="2" t="s">
        <v>191</v>
      </c>
      <c r="D753" s="4">
        <v>27</v>
      </c>
      <c r="E753" s="3">
        <v>24.11</v>
      </c>
      <c r="F753" s="3">
        <v>650.97</v>
      </c>
      <c r="G753" s="3">
        <v>24.98</v>
      </c>
      <c r="H753" s="3">
        <v>-23.51</v>
      </c>
      <c r="I753" s="3">
        <v>674.48</v>
      </c>
    </row>
    <row r="754" spans="1:9" ht="15" customHeight="1" x14ac:dyDescent="0.25">
      <c r="A754" s="2" t="s">
        <v>86</v>
      </c>
      <c r="B754" s="2" t="s">
        <v>136</v>
      </c>
      <c r="C754" s="2" t="s">
        <v>151</v>
      </c>
      <c r="D754" s="4">
        <v>60.834660069000002</v>
      </c>
      <c r="E754" s="3">
        <v>25.1</v>
      </c>
      <c r="F754" s="3">
        <v>1526.95</v>
      </c>
      <c r="G754" s="3">
        <v>25.08</v>
      </c>
      <c r="H754" s="3">
        <v>1.29</v>
      </c>
      <c r="I754" s="3">
        <v>1525.66</v>
      </c>
    </row>
    <row r="755" spans="1:9" ht="15" customHeight="1" x14ac:dyDescent="0.25">
      <c r="A755" s="2" t="s">
        <v>86</v>
      </c>
      <c r="B755" s="2" t="s">
        <v>164</v>
      </c>
      <c r="C755" s="2" t="s">
        <v>237</v>
      </c>
      <c r="D755" s="4">
        <v>32.707712825999998</v>
      </c>
      <c r="E755" s="3">
        <v>9.98</v>
      </c>
      <c r="F755" s="3">
        <v>326.42</v>
      </c>
      <c r="G755" s="3">
        <v>17.149999999999999</v>
      </c>
      <c r="H755" s="3">
        <v>-234.38</v>
      </c>
      <c r="I755" s="3">
        <v>560.79999999999995</v>
      </c>
    </row>
    <row r="756" spans="1:9" ht="15" customHeight="1" x14ac:dyDescent="0.25">
      <c r="A756" s="2" t="s">
        <v>88</v>
      </c>
      <c r="B756" s="2" t="s">
        <v>104</v>
      </c>
      <c r="C756" s="2" t="s">
        <v>105</v>
      </c>
      <c r="D756" s="4" t="s">
        <v>106</v>
      </c>
      <c r="E756" s="3"/>
      <c r="F756" s="3">
        <v>295.02999999999997</v>
      </c>
      <c r="G756" s="3"/>
      <c r="H756" s="3"/>
      <c r="I756" s="3"/>
    </row>
    <row r="757" spans="1:9" ht="15" customHeight="1" x14ac:dyDescent="0.25">
      <c r="A757" s="2" t="s">
        <v>88</v>
      </c>
      <c r="B757" s="2" t="s">
        <v>192</v>
      </c>
      <c r="C757" s="2" t="s">
        <v>193</v>
      </c>
      <c r="D757" s="4">
        <v>5.7442886270000004</v>
      </c>
      <c r="E757" s="3">
        <v>51.97</v>
      </c>
      <c r="F757" s="3">
        <v>298.52999999999997</v>
      </c>
      <c r="G757" s="3">
        <v>46.39</v>
      </c>
      <c r="H757" s="3">
        <v>32.07</v>
      </c>
      <c r="I757" s="3">
        <v>266.45999999999998</v>
      </c>
    </row>
    <row r="758" spans="1:9" ht="15" customHeight="1" x14ac:dyDescent="0.25">
      <c r="A758" s="2" t="s">
        <v>88</v>
      </c>
      <c r="B758" s="2" t="s">
        <v>215</v>
      </c>
      <c r="C758" s="2" t="s">
        <v>180</v>
      </c>
      <c r="D758" s="4">
        <v>26</v>
      </c>
      <c r="E758" s="3">
        <v>28.32</v>
      </c>
      <c r="F758" s="3">
        <v>736.33</v>
      </c>
      <c r="G758" s="3">
        <v>29.11</v>
      </c>
      <c r="H758" s="3">
        <v>-20.47</v>
      </c>
      <c r="I758" s="3">
        <v>756.79</v>
      </c>
    </row>
    <row r="759" spans="1:9" ht="15" customHeight="1" x14ac:dyDescent="0.25">
      <c r="A759" s="2" t="s">
        <v>88</v>
      </c>
      <c r="B759" s="2" t="s">
        <v>111</v>
      </c>
      <c r="C759" s="2" t="s">
        <v>131</v>
      </c>
      <c r="D759" s="4">
        <v>1.658571494</v>
      </c>
      <c r="E759" s="3">
        <v>105.36</v>
      </c>
      <c r="F759" s="3">
        <v>174.75</v>
      </c>
      <c r="G759" s="3">
        <v>120.02</v>
      </c>
      <c r="H759" s="3">
        <v>-24.32</v>
      </c>
      <c r="I759" s="3">
        <v>199.07</v>
      </c>
    </row>
    <row r="760" spans="1:9" ht="15" customHeight="1" x14ac:dyDescent="0.25">
      <c r="A760" s="2" t="s">
        <v>88</v>
      </c>
      <c r="B760" s="2" t="s">
        <v>240</v>
      </c>
      <c r="C760" s="2" t="s">
        <v>241</v>
      </c>
      <c r="D760" s="4">
        <v>3.177861322</v>
      </c>
      <c r="E760" s="3">
        <v>69.06</v>
      </c>
      <c r="F760" s="3">
        <v>219.46</v>
      </c>
      <c r="G760" s="3">
        <v>75.400000000000006</v>
      </c>
      <c r="H760" s="3">
        <v>-20.16</v>
      </c>
      <c r="I760" s="3">
        <v>239.62</v>
      </c>
    </row>
    <row r="761" spans="1:9" ht="15" customHeight="1" x14ac:dyDescent="0.25">
      <c r="A761" s="2" t="s">
        <v>88</v>
      </c>
      <c r="B761" s="2" t="s">
        <v>183</v>
      </c>
      <c r="C761" s="2" t="s">
        <v>184</v>
      </c>
      <c r="D761" s="4">
        <v>23.859091366000001</v>
      </c>
      <c r="E761" s="3">
        <v>26.78</v>
      </c>
      <c r="F761" s="3">
        <v>638.95000000000005</v>
      </c>
      <c r="G761" s="3">
        <v>26.67</v>
      </c>
      <c r="H761" s="3">
        <v>2.72</v>
      </c>
      <c r="I761" s="3">
        <v>636.22</v>
      </c>
    </row>
    <row r="762" spans="1:9" ht="15" customHeight="1" x14ac:dyDescent="0.25">
      <c r="A762" s="2" t="s">
        <v>88</v>
      </c>
      <c r="B762" s="2" t="s">
        <v>140</v>
      </c>
      <c r="C762" s="2" t="s">
        <v>224</v>
      </c>
      <c r="D762" s="4">
        <v>10.759141935000001</v>
      </c>
      <c r="E762" s="3">
        <v>32.549999999999997</v>
      </c>
      <c r="F762" s="3">
        <v>350.21</v>
      </c>
      <c r="G762" s="3">
        <v>130.37</v>
      </c>
      <c r="H762" s="3">
        <v>-1052.4100000000001</v>
      </c>
      <c r="I762" s="3">
        <v>1402.62</v>
      </c>
    </row>
    <row r="763" spans="1:9" ht="15" customHeight="1" x14ac:dyDescent="0.25">
      <c r="A763" s="2" t="s">
        <v>88</v>
      </c>
      <c r="B763" s="2" t="s">
        <v>225</v>
      </c>
      <c r="C763" s="2" t="s">
        <v>226</v>
      </c>
      <c r="D763" s="4">
        <v>9.5098942809999993</v>
      </c>
      <c r="E763" s="3">
        <v>33.93</v>
      </c>
      <c r="F763" s="3">
        <v>322.67</v>
      </c>
      <c r="G763" s="3">
        <v>30.13</v>
      </c>
      <c r="H763" s="3">
        <v>36.14</v>
      </c>
      <c r="I763" s="3">
        <v>286.52999999999997</v>
      </c>
    </row>
    <row r="764" spans="1:9" ht="15" customHeight="1" x14ac:dyDescent="0.25">
      <c r="A764" s="2" t="s">
        <v>88</v>
      </c>
      <c r="B764" s="2" t="s">
        <v>158</v>
      </c>
      <c r="C764" s="2" t="s">
        <v>227</v>
      </c>
      <c r="D764" s="4">
        <v>22.895187904</v>
      </c>
      <c r="E764" s="3">
        <v>13.16</v>
      </c>
      <c r="F764" s="3">
        <v>301.3</v>
      </c>
      <c r="G764" s="3">
        <v>17.399999999999999</v>
      </c>
      <c r="H764" s="3">
        <v>-97.18</v>
      </c>
      <c r="I764" s="3">
        <v>398.48</v>
      </c>
    </row>
    <row r="765" spans="1:9" ht="15" customHeight="1" x14ac:dyDescent="0.25">
      <c r="A765" s="2" t="s">
        <v>88</v>
      </c>
      <c r="B765" s="2" t="s">
        <v>204</v>
      </c>
      <c r="C765" s="2" t="s">
        <v>205</v>
      </c>
      <c r="D765" s="4">
        <v>34</v>
      </c>
      <c r="E765" s="3">
        <v>3.16</v>
      </c>
      <c r="F765" s="3">
        <v>107.44</v>
      </c>
      <c r="G765" s="3">
        <v>6.44</v>
      </c>
      <c r="H765" s="3">
        <v>-111.65</v>
      </c>
      <c r="I765" s="3">
        <v>219.09</v>
      </c>
    </row>
    <row r="766" spans="1:9" ht="15" customHeight="1" x14ac:dyDescent="0.25">
      <c r="A766" s="2" t="s">
        <v>88</v>
      </c>
      <c r="B766" s="2" t="s">
        <v>166</v>
      </c>
      <c r="C766" s="2" t="s">
        <v>167</v>
      </c>
      <c r="D766" s="4">
        <v>17.132472363000002</v>
      </c>
      <c r="E766" s="3">
        <v>51.04</v>
      </c>
      <c r="F766" s="3">
        <v>874.44</v>
      </c>
      <c r="G766" s="3">
        <v>50.86</v>
      </c>
      <c r="H766" s="3">
        <v>3.15</v>
      </c>
      <c r="I766" s="3">
        <v>871.29</v>
      </c>
    </row>
    <row r="767" spans="1:9" ht="15" customHeight="1" x14ac:dyDescent="0.25">
      <c r="A767" s="2" t="s">
        <v>88</v>
      </c>
      <c r="B767" s="2" t="s">
        <v>170</v>
      </c>
      <c r="C767" s="2" t="s">
        <v>228</v>
      </c>
      <c r="D767" s="4">
        <v>14.644582574999999</v>
      </c>
      <c r="E767" s="3">
        <v>47.12</v>
      </c>
      <c r="F767" s="3">
        <v>690.05</v>
      </c>
      <c r="G767" s="3">
        <v>47.39</v>
      </c>
      <c r="H767" s="3">
        <v>-3.95</v>
      </c>
      <c r="I767" s="3">
        <v>694</v>
      </c>
    </row>
    <row r="768" spans="1:9" ht="15" customHeight="1" x14ac:dyDescent="0.25">
      <c r="A768" s="2" t="s">
        <v>88</v>
      </c>
      <c r="B768" s="2" t="s">
        <v>127</v>
      </c>
      <c r="C768" s="2" t="s">
        <v>128</v>
      </c>
      <c r="D768" s="4">
        <v>127.519579225</v>
      </c>
      <c r="E768" s="3">
        <v>25.58</v>
      </c>
      <c r="F768" s="3">
        <v>3261.95</v>
      </c>
      <c r="G768" s="3">
        <v>25.4</v>
      </c>
      <c r="H768" s="3">
        <v>23.06</v>
      </c>
      <c r="I768" s="3">
        <v>3238.89</v>
      </c>
    </row>
    <row r="769" spans="1:9" ht="15" customHeight="1" x14ac:dyDescent="0.25">
      <c r="A769" s="2" t="s">
        <v>88</v>
      </c>
      <c r="B769" s="2" t="s">
        <v>132</v>
      </c>
      <c r="C769" s="2" t="s">
        <v>229</v>
      </c>
      <c r="D769" s="4">
        <v>77</v>
      </c>
      <c r="E769" s="3">
        <v>15.1</v>
      </c>
      <c r="F769" s="3">
        <v>1162.7</v>
      </c>
      <c r="G769" s="3">
        <v>15.21</v>
      </c>
      <c r="H769" s="3">
        <v>-8.24</v>
      </c>
      <c r="I769" s="3">
        <v>1170.94</v>
      </c>
    </row>
    <row r="770" spans="1:9" ht="15" customHeight="1" x14ac:dyDescent="0.25">
      <c r="A770" s="2" t="s">
        <v>88</v>
      </c>
      <c r="B770" s="2" t="s">
        <v>216</v>
      </c>
      <c r="C770" s="2" t="s">
        <v>217</v>
      </c>
      <c r="D770" s="4">
        <v>1.3964005960000001</v>
      </c>
      <c r="E770" s="3">
        <v>21.52</v>
      </c>
      <c r="F770" s="3">
        <v>30.05</v>
      </c>
      <c r="G770" s="3">
        <v>21.45</v>
      </c>
      <c r="H770" s="3">
        <v>0.1</v>
      </c>
      <c r="I770" s="3">
        <v>29.95</v>
      </c>
    </row>
    <row r="771" spans="1:9" ht="15" customHeight="1" x14ac:dyDescent="0.25">
      <c r="A771" s="2" t="s">
        <v>88</v>
      </c>
      <c r="B771" s="2" t="s">
        <v>134</v>
      </c>
      <c r="C771" s="2" t="s">
        <v>142</v>
      </c>
      <c r="D771" s="4">
        <v>89.584246945999993</v>
      </c>
      <c r="E771" s="3">
        <v>25.57</v>
      </c>
      <c r="F771" s="3">
        <v>2290.67</v>
      </c>
      <c r="G771" s="3">
        <v>25.62</v>
      </c>
      <c r="H771" s="3">
        <v>-4.2300000000000004</v>
      </c>
      <c r="I771" s="3">
        <v>2294.9</v>
      </c>
    </row>
    <row r="772" spans="1:9" ht="15" customHeight="1" x14ac:dyDescent="0.25">
      <c r="A772" s="2" t="s">
        <v>88</v>
      </c>
      <c r="B772" s="2" t="s">
        <v>250</v>
      </c>
      <c r="C772" s="2" t="s">
        <v>251</v>
      </c>
      <c r="D772" s="4">
        <v>0.63811627999999998</v>
      </c>
      <c r="E772" s="3">
        <v>259.64999999999998</v>
      </c>
      <c r="F772" s="3">
        <v>165.69</v>
      </c>
      <c r="G772" s="3">
        <v>250.74</v>
      </c>
      <c r="H772" s="3">
        <v>5.69</v>
      </c>
      <c r="I772" s="3">
        <v>160</v>
      </c>
    </row>
    <row r="773" spans="1:9" ht="15" customHeight="1" x14ac:dyDescent="0.25">
      <c r="A773" s="2" t="s">
        <v>88</v>
      </c>
      <c r="B773" s="2" t="s">
        <v>143</v>
      </c>
      <c r="C773" s="2" t="s">
        <v>144</v>
      </c>
      <c r="D773" s="4">
        <v>57.027593402000001</v>
      </c>
      <c r="E773" s="3">
        <v>50.67</v>
      </c>
      <c r="F773" s="3">
        <v>2889.59</v>
      </c>
      <c r="G773" s="3">
        <v>50.68</v>
      </c>
      <c r="H773" s="3">
        <v>-0.31</v>
      </c>
      <c r="I773" s="3">
        <v>2889.9</v>
      </c>
    </row>
    <row r="774" spans="1:9" ht="15" customHeight="1" x14ac:dyDescent="0.25">
      <c r="A774" s="2" t="s">
        <v>88</v>
      </c>
      <c r="B774" s="2" t="s">
        <v>185</v>
      </c>
      <c r="C774" s="2" t="s">
        <v>186</v>
      </c>
      <c r="D774" s="4">
        <v>7.1676907769999998</v>
      </c>
      <c r="E774" s="3">
        <v>47.84</v>
      </c>
      <c r="F774" s="3">
        <v>342.9</v>
      </c>
      <c r="G774" s="3">
        <v>48.09</v>
      </c>
      <c r="H774" s="3">
        <v>-1.82</v>
      </c>
      <c r="I774" s="3">
        <v>344.72</v>
      </c>
    </row>
    <row r="775" spans="1:9" ht="15" customHeight="1" x14ac:dyDescent="0.25">
      <c r="A775" s="2" t="s">
        <v>88</v>
      </c>
      <c r="B775" s="2" t="s">
        <v>218</v>
      </c>
      <c r="C775" s="2" t="s">
        <v>219</v>
      </c>
      <c r="D775" s="4">
        <v>11.949109268999999</v>
      </c>
      <c r="E775" s="3">
        <v>59.43</v>
      </c>
      <c r="F775" s="3">
        <v>710.14</v>
      </c>
      <c r="G775" s="3">
        <v>56.3</v>
      </c>
      <c r="H775" s="3">
        <v>37.369999999999997</v>
      </c>
      <c r="I775" s="3">
        <v>672.77</v>
      </c>
    </row>
    <row r="776" spans="1:9" ht="15" customHeight="1" x14ac:dyDescent="0.25">
      <c r="A776" s="2" t="s">
        <v>88</v>
      </c>
      <c r="B776" s="2" t="s">
        <v>121</v>
      </c>
      <c r="C776" s="2" t="s">
        <v>172</v>
      </c>
      <c r="D776" s="4">
        <v>46.50767862</v>
      </c>
      <c r="E776" s="3">
        <v>30.85</v>
      </c>
      <c r="F776" s="3">
        <v>1434.76</v>
      </c>
      <c r="G776" s="3">
        <v>37.74</v>
      </c>
      <c r="H776" s="3">
        <v>-320.51</v>
      </c>
      <c r="I776" s="3">
        <v>1755.27</v>
      </c>
    </row>
    <row r="777" spans="1:9" ht="15" customHeight="1" x14ac:dyDescent="0.25">
      <c r="A777" s="2" t="s">
        <v>88</v>
      </c>
      <c r="B777" s="2" t="s">
        <v>173</v>
      </c>
      <c r="C777" s="2" t="s">
        <v>174</v>
      </c>
      <c r="D777" s="4">
        <v>3.147079266</v>
      </c>
      <c r="E777" s="3">
        <v>74.81</v>
      </c>
      <c r="F777" s="3">
        <v>235.43</v>
      </c>
      <c r="G777" s="3">
        <v>63.45</v>
      </c>
      <c r="H777" s="3">
        <v>35.76</v>
      </c>
      <c r="I777" s="3">
        <v>199.68</v>
      </c>
    </row>
    <row r="778" spans="1:9" ht="15" customHeight="1" x14ac:dyDescent="0.25">
      <c r="A778" s="2" t="s">
        <v>88</v>
      </c>
      <c r="B778" s="2" t="s">
        <v>242</v>
      </c>
      <c r="C778" s="2" t="s">
        <v>243</v>
      </c>
      <c r="D778" s="4">
        <v>7.874658771</v>
      </c>
      <c r="E778" s="3">
        <v>9.5</v>
      </c>
      <c r="F778" s="3">
        <v>74.81</v>
      </c>
      <c r="G778" s="3">
        <v>19.05</v>
      </c>
      <c r="H778" s="3">
        <v>-75.19</v>
      </c>
      <c r="I778" s="3">
        <v>150</v>
      </c>
    </row>
    <row r="779" spans="1:9" ht="15" customHeight="1" x14ac:dyDescent="0.25">
      <c r="A779" s="2" t="s">
        <v>88</v>
      </c>
      <c r="B779" s="2" t="s">
        <v>179</v>
      </c>
      <c r="C779" s="2" t="s">
        <v>180</v>
      </c>
      <c r="D779" s="4">
        <v>38</v>
      </c>
      <c r="E779" s="3">
        <v>20.97</v>
      </c>
      <c r="F779" s="3">
        <v>796.86</v>
      </c>
      <c r="G779" s="3">
        <v>24.55</v>
      </c>
      <c r="H779" s="3">
        <v>-136.22</v>
      </c>
      <c r="I779" s="3">
        <v>933.08</v>
      </c>
    </row>
    <row r="780" spans="1:9" ht="15" customHeight="1" x14ac:dyDescent="0.25">
      <c r="A780" s="2" t="s">
        <v>88</v>
      </c>
      <c r="B780" s="2" t="s">
        <v>152</v>
      </c>
      <c r="C780" s="2" t="s">
        <v>230</v>
      </c>
      <c r="D780" s="4">
        <v>11.85548324</v>
      </c>
      <c r="E780" s="3">
        <v>27.18</v>
      </c>
      <c r="F780" s="3">
        <v>322.23</v>
      </c>
      <c r="G780" s="3">
        <v>100.53</v>
      </c>
      <c r="H780" s="3">
        <v>-869.61</v>
      </c>
      <c r="I780" s="3">
        <v>1191.8499999999999</v>
      </c>
    </row>
    <row r="781" spans="1:9" ht="15" customHeight="1" x14ac:dyDescent="0.25">
      <c r="A781" s="2" t="s">
        <v>88</v>
      </c>
      <c r="B781" s="2" t="s">
        <v>113</v>
      </c>
      <c r="C781" s="2" t="s">
        <v>114</v>
      </c>
      <c r="D781" s="4">
        <v>2.9389128389999999</v>
      </c>
      <c r="E781" s="3">
        <v>96.89</v>
      </c>
      <c r="F781" s="3">
        <v>284.75</v>
      </c>
      <c r="G781" s="3">
        <v>69.989999999999995</v>
      </c>
      <c r="H781" s="3">
        <v>79.069999999999993</v>
      </c>
      <c r="I781" s="3">
        <v>205.68</v>
      </c>
    </row>
    <row r="782" spans="1:9" ht="15" customHeight="1" x14ac:dyDescent="0.25">
      <c r="A782" s="2" t="s">
        <v>88</v>
      </c>
      <c r="B782" s="2" t="s">
        <v>252</v>
      </c>
      <c r="C782" s="2" t="s">
        <v>253</v>
      </c>
      <c r="D782" s="4">
        <v>1.133412042</v>
      </c>
      <c r="E782" s="3">
        <v>83.49</v>
      </c>
      <c r="F782" s="3">
        <v>94.63</v>
      </c>
      <c r="G782" s="3">
        <v>88.09</v>
      </c>
      <c r="H782" s="3">
        <v>-5.21</v>
      </c>
      <c r="I782" s="3">
        <v>99.84</v>
      </c>
    </row>
    <row r="783" spans="1:9" ht="15" customHeight="1" x14ac:dyDescent="0.25">
      <c r="A783" s="2" t="s">
        <v>88</v>
      </c>
      <c r="B783" s="2" t="s">
        <v>254</v>
      </c>
      <c r="C783" s="2" t="s">
        <v>255</v>
      </c>
      <c r="D783" s="4">
        <v>2.4299728900000002</v>
      </c>
      <c r="E783" s="3">
        <v>39.33</v>
      </c>
      <c r="F783" s="3">
        <v>95.57</v>
      </c>
      <c r="G783" s="3">
        <v>53.41</v>
      </c>
      <c r="H783" s="3">
        <v>-34.22</v>
      </c>
      <c r="I783" s="3">
        <v>129.79</v>
      </c>
    </row>
    <row r="784" spans="1:9" ht="15" customHeight="1" x14ac:dyDescent="0.25">
      <c r="A784" s="2" t="s">
        <v>88</v>
      </c>
      <c r="B784" s="2" t="s">
        <v>145</v>
      </c>
      <c r="C784" s="2" t="s">
        <v>231</v>
      </c>
      <c r="D784" s="4">
        <v>53.212463429000003</v>
      </c>
      <c r="E784" s="3">
        <v>14.61</v>
      </c>
      <c r="F784" s="3">
        <v>777.43</v>
      </c>
      <c r="G784" s="3">
        <v>21.44</v>
      </c>
      <c r="H784" s="3">
        <v>-363.53</v>
      </c>
      <c r="I784" s="3">
        <v>1140.97</v>
      </c>
    </row>
    <row r="785" spans="1:9" ht="15" customHeight="1" x14ac:dyDescent="0.25">
      <c r="A785" s="2" t="s">
        <v>88</v>
      </c>
      <c r="B785" s="2" t="s">
        <v>154</v>
      </c>
      <c r="C785" s="2" t="s">
        <v>155</v>
      </c>
      <c r="D785" s="4">
        <v>7.0077995360000003</v>
      </c>
      <c r="E785" s="3">
        <v>61.16</v>
      </c>
      <c r="F785" s="3">
        <v>428.6</v>
      </c>
      <c r="G785" s="3">
        <v>59.41</v>
      </c>
      <c r="H785" s="3">
        <v>12.28</v>
      </c>
      <c r="I785" s="3">
        <v>416.32</v>
      </c>
    </row>
    <row r="786" spans="1:9" ht="15" customHeight="1" x14ac:dyDescent="0.25">
      <c r="A786" s="2" t="s">
        <v>88</v>
      </c>
      <c r="B786" s="2" t="s">
        <v>256</v>
      </c>
      <c r="C786" s="2" t="s">
        <v>257</v>
      </c>
      <c r="D786" s="4">
        <v>20.081432613</v>
      </c>
      <c r="E786" s="3">
        <v>10.36</v>
      </c>
      <c r="F786" s="3">
        <v>208.04</v>
      </c>
      <c r="G786" s="3">
        <v>14.92</v>
      </c>
      <c r="H786" s="3">
        <v>-91.48</v>
      </c>
      <c r="I786" s="3">
        <v>299.52</v>
      </c>
    </row>
    <row r="787" spans="1:9" ht="15" customHeight="1" x14ac:dyDescent="0.25">
      <c r="A787" s="2" t="s">
        <v>88</v>
      </c>
      <c r="B787" s="2" t="s">
        <v>244</v>
      </c>
      <c r="C787" s="2" t="s">
        <v>245</v>
      </c>
      <c r="D787" s="4">
        <v>5.7262678359999999</v>
      </c>
      <c r="E787" s="3">
        <v>21.8</v>
      </c>
      <c r="F787" s="3">
        <v>124.83</v>
      </c>
      <c r="G787" s="3">
        <v>21.62</v>
      </c>
      <c r="H787" s="3">
        <v>1.03</v>
      </c>
      <c r="I787" s="3">
        <v>123.8</v>
      </c>
    </row>
    <row r="788" spans="1:9" ht="15" customHeight="1" x14ac:dyDescent="0.25">
      <c r="A788" s="2" t="s">
        <v>88</v>
      </c>
      <c r="B788" s="2" t="s">
        <v>129</v>
      </c>
      <c r="C788" s="2" t="s">
        <v>130</v>
      </c>
      <c r="D788" s="4">
        <v>61</v>
      </c>
      <c r="E788" s="3">
        <v>49.66</v>
      </c>
      <c r="F788" s="3">
        <v>3029.45</v>
      </c>
      <c r="G788" s="3">
        <v>50.14</v>
      </c>
      <c r="H788" s="3">
        <v>-28.83</v>
      </c>
      <c r="I788" s="3">
        <v>3058.27</v>
      </c>
    </row>
    <row r="789" spans="1:9" ht="15" customHeight="1" x14ac:dyDescent="0.25">
      <c r="A789" s="2" t="s">
        <v>88</v>
      </c>
      <c r="B789" s="2" t="s">
        <v>175</v>
      </c>
      <c r="C789" s="2" t="s">
        <v>176</v>
      </c>
      <c r="D789" s="4">
        <v>4.7334800709999998</v>
      </c>
      <c r="E789" s="3">
        <v>146.59</v>
      </c>
      <c r="F789" s="3">
        <v>693.88</v>
      </c>
      <c r="G789" s="3">
        <v>93.65</v>
      </c>
      <c r="H789" s="3">
        <v>250.59</v>
      </c>
      <c r="I789" s="3">
        <v>443.29</v>
      </c>
    </row>
    <row r="790" spans="1:9" ht="15" customHeight="1" x14ac:dyDescent="0.25">
      <c r="A790" s="2" t="s">
        <v>88</v>
      </c>
      <c r="B790" s="2" t="s">
        <v>194</v>
      </c>
      <c r="C790" s="2" t="s">
        <v>232</v>
      </c>
      <c r="D790" s="4">
        <v>14</v>
      </c>
      <c r="E790" s="3">
        <v>41.38</v>
      </c>
      <c r="F790" s="3">
        <v>579.32000000000005</v>
      </c>
      <c r="G790" s="3">
        <v>65.540000000000006</v>
      </c>
      <c r="H790" s="3">
        <v>-338.21</v>
      </c>
      <c r="I790" s="3">
        <v>917.53</v>
      </c>
    </row>
    <row r="791" spans="1:9" ht="15" customHeight="1" x14ac:dyDescent="0.25">
      <c r="A791" s="2" t="s">
        <v>88</v>
      </c>
      <c r="B791" s="2" t="s">
        <v>233</v>
      </c>
      <c r="C791" s="2" t="s">
        <v>234</v>
      </c>
      <c r="D791" s="4">
        <v>4.2653438039999996</v>
      </c>
      <c r="E791" s="3">
        <v>80.069999999999993</v>
      </c>
      <c r="F791" s="3">
        <v>341.53</v>
      </c>
      <c r="G791" s="3">
        <v>46.2</v>
      </c>
      <c r="H791" s="3">
        <v>144.49</v>
      </c>
      <c r="I791" s="3">
        <v>197.04</v>
      </c>
    </row>
    <row r="792" spans="1:9" ht="15" customHeight="1" x14ac:dyDescent="0.25">
      <c r="A792" s="2" t="s">
        <v>88</v>
      </c>
      <c r="B792" s="2" t="s">
        <v>213</v>
      </c>
      <c r="C792" s="2" t="s">
        <v>214</v>
      </c>
      <c r="D792" s="4">
        <v>15.966820526999999</v>
      </c>
      <c r="E792" s="3">
        <v>29.82</v>
      </c>
      <c r="F792" s="3">
        <v>476.13</v>
      </c>
      <c r="G792" s="3">
        <v>27.15</v>
      </c>
      <c r="H792" s="3">
        <v>42.69</v>
      </c>
      <c r="I792" s="3">
        <v>433.44</v>
      </c>
    </row>
    <row r="793" spans="1:9" ht="15" customHeight="1" x14ac:dyDescent="0.25">
      <c r="A793" s="2" t="s">
        <v>88</v>
      </c>
      <c r="B793" s="2" t="s">
        <v>247</v>
      </c>
      <c r="C793" s="2" t="s">
        <v>248</v>
      </c>
      <c r="D793" s="4">
        <v>12.181604728</v>
      </c>
      <c r="E793" s="3">
        <v>32</v>
      </c>
      <c r="F793" s="3">
        <v>389.81</v>
      </c>
      <c r="G793" s="3">
        <v>32.840000000000003</v>
      </c>
      <c r="H793" s="3">
        <v>-10.19</v>
      </c>
      <c r="I793" s="3">
        <v>400</v>
      </c>
    </row>
    <row r="794" spans="1:9" ht="15" customHeight="1" x14ac:dyDescent="0.25">
      <c r="A794" s="2" t="s">
        <v>88</v>
      </c>
      <c r="B794" s="2" t="s">
        <v>196</v>
      </c>
      <c r="C794" s="2" t="s">
        <v>197</v>
      </c>
      <c r="D794" s="4">
        <v>28.440680644</v>
      </c>
      <c r="E794" s="3">
        <v>25.71</v>
      </c>
      <c r="F794" s="3">
        <v>731.21</v>
      </c>
      <c r="G794" s="3">
        <v>23</v>
      </c>
      <c r="H794" s="3">
        <v>76.959999999999994</v>
      </c>
      <c r="I794" s="3">
        <v>654.24</v>
      </c>
    </row>
    <row r="795" spans="1:9" ht="15" customHeight="1" x14ac:dyDescent="0.25">
      <c r="A795" s="2" t="s">
        <v>88</v>
      </c>
      <c r="B795" s="2" t="s">
        <v>119</v>
      </c>
      <c r="C795" s="2" t="s">
        <v>120</v>
      </c>
      <c r="D795" s="4">
        <v>45.747440206</v>
      </c>
      <c r="E795" s="3">
        <v>100.67</v>
      </c>
      <c r="F795" s="3">
        <v>4605.3900000000003</v>
      </c>
      <c r="G795" s="3">
        <v>100.31</v>
      </c>
      <c r="H795" s="3">
        <v>16.440000000000001</v>
      </c>
      <c r="I795" s="3">
        <v>4588.95</v>
      </c>
    </row>
    <row r="796" spans="1:9" ht="15" customHeight="1" x14ac:dyDescent="0.25">
      <c r="A796" s="2" t="s">
        <v>88</v>
      </c>
      <c r="B796" s="2" t="s">
        <v>115</v>
      </c>
      <c r="C796" s="2" t="s">
        <v>249</v>
      </c>
      <c r="D796" s="4">
        <v>58.920814186999998</v>
      </c>
      <c r="E796" s="3">
        <v>110.44</v>
      </c>
      <c r="F796" s="3">
        <v>6507.21</v>
      </c>
      <c r="G796" s="3">
        <v>110.07</v>
      </c>
      <c r="H796" s="3">
        <v>21.57</v>
      </c>
      <c r="I796" s="3">
        <v>6485.64</v>
      </c>
    </row>
    <row r="797" spans="1:9" ht="15" customHeight="1" x14ac:dyDescent="0.25">
      <c r="A797" s="2" t="s">
        <v>88</v>
      </c>
      <c r="B797" s="2" t="s">
        <v>181</v>
      </c>
      <c r="C797" s="2" t="s">
        <v>182</v>
      </c>
      <c r="D797" s="4">
        <v>9.5861616040000008</v>
      </c>
      <c r="E797" s="3">
        <v>20.350000000000001</v>
      </c>
      <c r="F797" s="3">
        <v>195.08</v>
      </c>
      <c r="G797" s="3">
        <v>26.04</v>
      </c>
      <c r="H797" s="3">
        <v>-54.52</v>
      </c>
      <c r="I797" s="3">
        <v>249.6</v>
      </c>
    </row>
    <row r="798" spans="1:9" ht="15" customHeight="1" x14ac:dyDescent="0.25">
      <c r="A798" s="2" t="s">
        <v>88</v>
      </c>
      <c r="B798" s="2" t="s">
        <v>162</v>
      </c>
      <c r="C798" s="2" t="s">
        <v>246</v>
      </c>
      <c r="D798" s="4">
        <v>51.233788025999999</v>
      </c>
      <c r="E798" s="3">
        <v>25.43</v>
      </c>
      <c r="F798" s="3">
        <v>1302.8800000000001</v>
      </c>
      <c r="G798" s="3">
        <v>25.29</v>
      </c>
      <c r="H798" s="3">
        <v>7.15</v>
      </c>
      <c r="I798" s="3">
        <v>1295.73</v>
      </c>
    </row>
    <row r="799" spans="1:9" ht="15" customHeight="1" x14ac:dyDescent="0.25">
      <c r="A799" s="2" t="s">
        <v>88</v>
      </c>
      <c r="B799" s="2" t="s">
        <v>222</v>
      </c>
      <c r="C799" s="2" t="s">
        <v>223</v>
      </c>
      <c r="D799" s="4">
        <v>13.370193596</v>
      </c>
      <c r="E799" s="3">
        <v>4.4800000000000004</v>
      </c>
      <c r="F799" s="3">
        <v>59.9</v>
      </c>
      <c r="G799" s="3">
        <v>3.73</v>
      </c>
      <c r="H799" s="3">
        <v>10.039999999999999</v>
      </c>
      <c r="I799" s="3">
        <v>49.86</v>
      </c>
    </row>
    <row r="800" spans="1:9" ht="15" customHeight="1" x14ac:dyDescent="0.25">
      <c r="A800" s="2" t="s">
        <v>88</v>
      </c>
      <c r="B800" s="2" t="s">
        <v>177</v>
      </c>
      <c r="C800" s="2" t="s">
        <v>178</v>
      </c>
      <c r="D800" s="4">
        <v>1.061371047</v>
      </c>
      <c r="E800" s="3">
        <v>330.56</v>
      </c>
      <c r="F800" s="3">
        <v>350.85</v>
      </c>
      <c r="G800" s="3">
        <v>209.15</v>
      </c>
      <c r="H800" s="3">
        <v>128.86000000000001</v>
      </c>
      <c r="I800" s="3">
        <v>221.99</v>
      </c>
    </row>
    <row r="801" spans="1:9" ht="15" customHeight="1" x14ac:dyDescent="0.25">
      <c r="A801" s="2" t="s">
        <v>88</v>
      </c>
      <c r="B801" s="2" t="s">
        <v>235</v>
      </c>
      <c r="C801" s="2" t="s">
        <v>236</v>
      </c>
      <c r="D801" s="4">
        <v>0.71350215900000002</v>
      </c>
      <c r="E801" s="3">
        <v>286.93</v>
      </c>
      <c r="F801" s="3">
        <v>204.73</v>
      </c>
      <c r="G801" s="3">
        <v>307.85000000000002</v>
      </c>
      <c r="H801" s="3">
        <v>-14.92</v>
      </c>
      <c r="I801" s="3">
        <v>219.65</v>
      </c>
    </row>
    <row r="802" spans="1:9" ht="15" customHeight="1" x14ac:dyDescent="0.25">
      <c r="A802" s="2" t="s">
        <v>88</v>
      </c>
      <c r="B802" s="2" t="s">
        <v>190</v>
      </c>
      <c r="C802" s="2" t="s">
        <v>191</v>
      </c>
      <c r="D802" s="4">
        <v>27</v>
      </c>
      <c r="E802" s="3">
        <v>25.85</v>
      </c>
      <c r="F802" s="3">
        <v>697.95</v>
      </c>
      <c r="G802" s="3">
        <v>24.98</v>
      </c>
      <c r="H802" s="3">
        <v>23.47</v>
      </c>
      <c r="I802" s="3">
        <v>674.48</v>
      </c>
    </row>
    <row r="803" spans="1:9" ht="15" customHeight="1" x14ac:dyDescent="0.25">
      <c r="A803" s="2" t="s">
        <v>88</v>
      </c>
      <c r="B803" s="2" t="s">
        <v>258</v>
      </c>
      <c r="C803" s="2" t="s">
        <v>259</v>
      </c>
      <c r="D803" s="4">
        <v>0.448675096</v>
      </c>
      <c r="E803" s="3">
        <v>321.83</v>
      </c>
      <c r="F803" s="3">
        <v>144.4</v>
      </c>
      <c r="G803" s="3">
        <v>356.03</v>
      </c>
      <c r="H803" s="3">
        <v>-15.34</v>
      </c>
      <c r="I803" s="3">
        <v>159.74</v>
      </c>
    </row>
    <row r="804" spans="1:9" ht="15" customHeight="1" x14ac:dyDescent="0.25">
      <c r="A804" s="2" t="s">
        <v>88</v>
      </c>
      <c r="B804" s="2" t="s">
        <v>260</v>
      </c>
      <c r="C804" s="2" t="s">
        <v>261</v>
      </c>
      <c r="D804" s="4">
        <v>8.1980030540000008</v>
      </c>
      <c r="E804" s="3">
        <v>12.46</v>
      </c>
      <c r="F804" s="3">
        <v>102.15</v>
      </c>
      <c r="G804" s="3">
        <v>12.18</v>
      </c>
      <c r="H804" s="3">
        <v>2.31</v>
      </c>
      <c r="I804" s="3">
        <v>99.84</v>
      </c>
    </row>
    <row r="805" spans="1:9" ht="15" customHeight="1" x14ac:dyDescent="0.25">
      <c r="A805" s="2" t="s">
        <v>88</v>
      </c>
      <c r="B805" s="2" t="s">
        <v>136</v>
      </c>
      <c r="C805" s="2" t="s">
        <v>151</v>
      </c>
      <c r="D805" s="4">
        <v>60.834660069000002</v>
      </c>
      <c r="E805" s="3">
        <v>25.12</v>
      </c>
      <c r="F805" s="3">
        <v>1528.17</v>
      </c>
      <c r="G805" s="3">
        <v>25.08</v>
      </c>
      <c r="H805" s="3">
        <v>2.5099999999999998</v>
      </c>
      <c r="I805" s="3">
        <v>1525.66</v>
      </c>
    </row>
    <row r="806" spans="1:9" ht="15" customHeight="1" x14ac:dyDescent="0.25">
      <c r="A806" s="2" t="s">
        <v>88</v>
      </c>
      <c r="B806" s="2" t="s">
        <v>164</v>
      </c>
      <c r="C806" s="2" t="s">
        <v>237</v>
      </c>
      <c r="D806" s="4">
        <v>32.707712825999998</v>
      </c>
      <c r="E806" s="3">
        <v>9.34</v>
      </c>
      <c r="F806" s="3">
        <v>305.49</v>
      </c>
      <c r="G806" s="3">
        <v>17.149999999999999</v>
      </c>
      <c r="H806" s="3">
        <v>-255.31</v>
      </c>
      <c r="I806" s="3">
        <v>560.79999999999995</v>
      </c>
    </row>
    <row r="807" spans="1:9" ht="15" customHeight="1" x14ac:dyDescent="0.25">
      <c r="A807" s="2" t="s">
        <v>90</v>
      </c>
      <c r="B807" s="2" t="s">
        <v>104</v>
      </c>
      <c r="C807" s="2" t="s">
        <v>105</v>
      </c>
      <c r="D807" s="4" t="s">
        <v>106</v>
      </c>
      <c r="E807" s="3"/>
      <c r="F807" s="3">
        <v>164.39</v>
      </c>
      <c r="G807" s="3"/>
      <c r="H807" s="3"/>
      <c r="I807" s="3"/>
    </row>
    <row r="808" spans="1:9" ht="15" customHeight="1" x14ac:dyDescent="0.25">
      <c r="A808" s="2" t="s">
        <v>90</v>
      </c>
      <c r="B808" s="2" t="s">
        <v>192</v>
      </c>
      <c r="C808" s="2" t="s">
        <v>193</v>
      </c>
      <c r="D808" s="4">
        <v>5.7442886270000004</v>
      </c>
      <c r="E808" s="3">
        <v>50.26</v>
      </c>
      <c r="F808" s="3">
        <v>288.70999999999998</v>
      </c>
      <c r="G808" s="3">
        <v>46.39</v>
      </c>
      <c r="H808" s="3">
        <v>22.25</v>
      </c>
      <c r="I808" s="3">
        <v>266.45999999999998</v>
      </c>
    </row>
    <row r="809" spans="1:9" ht="15" customHeight="1" x14ac:dyDescent="0.25">
      <c r="A809" s="2" t="s">
        <v>90</v>
      </c>
      <c r="B809" s="2" t="s">
        <v>215</v>
      </c>
      <c r="C809" s="2" t="s">
        <v>180</v>
      </c>
      <c r="D809" s="4">
        <v>26</v>
      </c>
      <c r="E809" s="3">
        <v>23.96</v>
      </c>
      <c r="F809" s="3">
        <v>622.96</v>
      </c>
      <c r="G809" s="3">
        <v>29.11</v>
      </c>
      <c r="H809" s="3">
        <v>-133.83000000000001</v>
      </c>
      <c r="I809" s="3">
        <v>756.79</v>
      </c>
    </row>
    <row r="810" spans="1:9" ht="15" customHeight="1" x14ac:dyDescent="0.25">
      <c r="A810" s="2" t="s">
        <v>90</v>
      </c>
      <c r="B810" s="2" t="s">
        <v>111</v>
      </c>
      <c r="C810" s="2" t="s">
        <v>131</v>
      </c>
      <c r="D810" s="4">
        <v>1.658571494</v>
      </c>
      <c r="E810" s="3">
        <v>127.45</v>
      </c>
      <c r="F810" s="3">
        <v>211.38</v>
      </c>
      <c r="G810" s="3">
        <v>120.02</v>
      </c>
      <c r="H810" s="3">
        <v>12.31</v>
      </c>
      <c r="I810" s="3">
        <v>199.07</v>
      </c>
    </row>
    <row r="811" spans="1:9" ht="15" customHeight="1" x14ac:dyDescent="0.25">
      <c r="A811" s="2" t="s">
        <v>90</v>
      </c>
      <c r="B811" s="2" t="s">
        <v>240</v>
      </c>
      <c r="C811" s="2" t="s">
        <v>262</v>
      </c>
      <c r="D811" s="4">
        <v>3.177861322</v>
      </c>
      <c r="E811" s="3">
        <v>62.91</v>
      </c>
      <c r="F811" s="3">
        <v>199.92</v>
      </c>
      <c r="G811" s="3">
        <v>75.400000000000006</v>
      </c>
      <c r="H811" s="3">
        <v>-39.700000000000003</v>
      </c>
      <c r="I811" s="3">
        <v>239.62</v>
      </c>
    </row>
    <row r="812" spans="1:9" ht="15" customHeight="1" x14ac:dyDescent="0.25">
      <c r="A812" s="2" t="s">
        <v>90</v>
      </c>
      <c r="B812" s="2" t="s">
        <v>183</v>
      </c>
      <c r="C812" s="2" t="s">
        <v>184</v>
      </c>
      <c r="D812" s="4">
        <v>26.867887251999999</v>
      </c>
      <c r="E812" s="3">
        <v>25.72</v>
      </c>
      <c r="F812" s="3">
        <v>691.04</v>
      </c>
      <c r="G812" s="3">
        <v>26.65</v>
      </c>
      <c r="H812" s="3">
        <v>-25.05</v>
      </c>
      <c r="I812" s="3">
        <v>716.1</v>
      </c>
    </row>
    <row r="813" spans="1:9" ht="15" customHeight="1" x14ac:dyDescent="0.25">
      <c r="A813" s="2" t="s">
        <v>90</v>
      </c>
      <c r="B813" s="2" t="s">
        <v>140</v>
      </c>
      <c r="C813" s="2" t="s">
        <v>224</v>
      </c>
      <c r="D813" s="4">
        <v>10.759141935000001</v>
      </c>
      <c r="E813" s="3">
        <v>28.1</v>
      </c>
      <c r="F813" s="3">
        <v>302.33</v>
      </c>
      <c r="G813" s="3">
        <v>130.37</v>
      </c>
      <c r="H813" s="3">
        <v>-1100.29</v>
      </c>
      <c r="I813" s="3">
        <v>1402.62</v>
      </c>
    </row>
    <row r="814" spans="1:9" ht="15" customHeight="1" x14ac:dyDescent="0.25">
      <c r="A814" s="2" t="s">
        <v>90</v>
      </c>
      <c r="B814" s="2" t="s">
        <v>225</v>
      </c>
      <c r="C814" s="2" t="s">
        <v>226</v>
      </c>
      <c r="D814" s="4">
        <v>9.5098942809999993</v>
      </c>
      <c r="E814" s="3">
        <v>35.19</v>
      </c>
      <c r="F814" s="3">
        <v>334.65</v>
      </c>
      <c r="G814" s="3">
        <v>30.13</v>
      </c>
      <c r="H814" s="3">
        <v>48.12</v>
      </c>
      <c r="I814" s="3">
        <v>286.52999999999997</v>
      </c>
    </row>
    <row r="815" spans="1:9" ht="15" customHeight="1" x14ac:dyDescent="0.25">
      <c r="A815" s="2" t="s">
        <v>90</v>
      </c>
      <c r="B815" s="2" t="s">
        <v>158</v>
      </c>
      <c r="C815" s="2" t="s">
        <v>227</v>
      </c>
      <c r="D815" s="4">
        <v>22.895187904</v>
      </c>
      <c r="E815" s="3">
        <v>11.61</v>
      </c>
      <c r="F815" s="3">
        <v>265.81</v>
      </c>
      <c r="G815" s="3">
        <v>17.399999999999999</v>
      </c>
      <c r="H815" s="3">
        <v>-132.66999999999999</v>
      </c>
      <c r="I815" s="3">
        <v>398.48</v>
      </c>
    </row>
    <row r="816" spans="1:9" ht="15" customHeight="1" x14ac:dyDescent="0.25">
      <c r="A816" s="2" t="s">
        <v>90</v>
      </c>
      <c r="B816" s="2" t="s">
        <v>204</v>
      </c>
      <c r="C816" s="2" t="s">
        <v>205</v>
      </c>
      <c r="D816" s="4">
        <v>34</v>
      </c>
      <c r="E816" s="3">
        <v>3.27</v>
      </c>
      <c r="F816" s="3">
        <v>111.18</v>
      </c>
      <c r="G816" s="3">
        <v>6.44</v>
      </c>
      <c r="H816" s="3">
        <v>-107.91</v>
      </c>
      <c r="I816" s="3">
        <v>219.09</v>
      </c>
    </row>
    <row r="817" spans="1:9" ht="15" customHeight="1" x14ac:dyDescent="0.25">
      <c r="A817" s="2" t="s">
        <v>90</v>
      </c>
      <c r="B817" s="2" t="s">
        <v>166</v>
      </c>
      <c r="C817" s="2" t="s">
        <v>167</v>
      </c>
      <c r="D817" s="4">
        <v>18.700764853999999</v>
      </c>
      <c r="E817" s="3">
        <v>51</v>
      </c>
      <c r="F817" s="3">
        <v>953.74</v>
      </c>
      <c r="G817" s="3">
        <v>50.86</v>
      </c>
      <c r="H817" s="3">
        <v>2.58</v>
      </c>
      <c r="I817" s="3">
        <v>951.16</v>
      </c>
    </row>
    <row r="818" spans="1:9" ht="15" customHeight="1" x14ac:dyDescent="0.25">
      <c r="A818" s="2" t="s">
        <v>90</v>
      </c>
      <c r="B818" s="2" t="s">
        <v>170</v>
      </c>
      <c r="C818" s="2" t="s">
        <v>228</v>
      </c>
      <c r="D818" s="4">
        <v>14.644582574999999</v>
      </c>
      <c r="E818" s="3">
        <v>46.34</v>
      </c>
      <c r="F818" s="3">
        <v>678.63</v>
      </c>
      <c r="G818" s="3">
        <v>47.39</v>
      </c>
      <c r="H818" s="3">
        <v>-15.37</v>
      </c>
      <c r="I818" s="3">
        <v>694</v>
      </c>
    </row>
    <row r="819" spans="1:9" ht="15" customHeight="1" x14ac:dyDescent="0.25">
      <c r="A819" s="2" t="s">
        <v>90</v>
      </c>
      <c r="B819" s="2" t="s">
        <v>127</v>
      </c>
      <c r="C819" s="2" t="s">
        <v>128</v>
      </c>
      <c r="D819" s="4">
        <v>132.21321291699999</v>
      </c>
      <c r="E819" s="3">
        <v>25.58</v>
      </c>
      <c r="F819" s="3">
        <v>3382.01</v>
      </c>
      <c r="G819" s="3">
        <v>25.4</v>
      </c>
      <c r="H819" s="3">
        <v>23.32</v>
      </c>
      <c r="I819" s="3">
        <v>3358.7</v>
      </c>
    </row>
    <row r="820" spans="1:9" ht="15" customHeight="1" x14ac:dyDescent="0.25">
      <c r="A820" s="2" t="s">
        <v>90</v>
      </c>
      <c r="B820" s="2" t="s">
        <v>263</v>
      </c>
      <c r="C820" s="2" t="s">
        <v>264</v>
      </c>
      <c r="D820" s="4">
        <v>1</v>
      </c>
      <c r="E820" s="3">
        <v>0.22</v>
      </c>
      <c r="F820" s="3">
        <v>22</v>
      </c>
      <c r="G820" s="3">
        <v>430</v>
      </c>
      <c r="H820" s="3">
        <v>-408</v>
      </c>
      <c r="I820" s="3">
        <v>430</v>
      </c>
    </row>
    <row r="821" spans="1:9" ht="15" customHeight="1" x14ac:dyDescent="0.25">
      <c r="A821" s="2" t="s">
        <v>90</v>
      </c>
      <c r="B821" s="2" t="s">
        <v>132</v>
      </c>
      <c r="C821" s="2" t="s">
        <v>229</v>
      </c>
      <c r="D821" s="4">
        <v>77</v>
      </c>
      <c r="E821" s="3">
        <v>13.83</v>
      </c>
      <c r="F821" s="3">
        <v>1064.9100000000001</v>
      </c>
      <c r="G821" s="3">
        <v>15.21</v>
      </c>
      <c r="H821" s="3">
        <v>-106.03</v>
      </c>
      <c r="I821" s="3">
        <v>1170.94</v>
      </c>
    </row>
    <row r="822" spans="1:9" ht="15" customHeight="1" x14ac:dyDescent="0.25">
      <c r="A822" s="2" t="s">
        <v>90</v>
      </c>
      <c r="B822" s="2" t="s">
        <v>216</v>
      </c>
      <c r="C822" s="2" t="s">
        <v>217</v>
      </c>
      <c r="D822" s="4">
        <v>1.3964005960000001</v>
      </c>
      <c r="E822" s="3">
        <v>21.47</v>
      </c>
      <c r="F822" s="3">
        <v>29.98</v>
      </c>
      <c r="G822" s="3">
        <v>21.45</v>
      </c>
      <c r="H822" s="3">
        <v>0.03</v>
      </c>
      <c r="I822" s="3">
        <v>29.95</v>
      </c>
    </row>
    <row r="823" spans="1:9" ht="15" customHeight="1" x14ac:dyDescent="0.25">
      <c r="A823" s="2" t="s">
        <v>90</v>
      </c>
      <c r="B823" s="2" t="s">
        <v>134</v>
      </c>
      <c r="C823" s="2" t="s">
        <v>142</v>
      </c>
      <c r="D823" s="4">
        <v>89.584246945999993</v>
      </c>
      <c r="E823" s="3">
        <v>25.57</v>
      </c>
      <c r="F823" s="3">
        <v>2290.67</v>
      </c>
      <c r="G823" s="3">
        <v>25.62</v>
      </c>
      <c r="H823" s="3">
        <v>-4.2300000000000004</v>
      </c>
      <c r="I823" s="3">
        <v>2294.9</v>
      </c>
    </row>
    <row r="824" spans="1:9" ht="15" customHeight="1" x14ac:dyDescent="0.25">
      <c r="A824" s="2" t="s">
        <v>90</v>
      </c>
      <c r="B824" s="2" t="s">
        <v>250</v>
      </c>
      <c r="C824" s="2" t="s">
        <v>251</v>
      </c>
      <c r="D824" s="4">
        <v>0.63811627999999998</v>
      </c>
      <c r="E824" s="3">
        <v>261.41000000000003</v>
      </c>
      <c r="F824" s="3">
        <v>166.81</v>
      </c>
      <c r="G824" s="3">
        <v>250.74</v>
      </c>
      <c r="H824" s="3">
        <v>6.81</v>
      </c>
      <c r="I824" s="3">
        <v>160</v>
      </c>
    </row>
    <row r="825" spans="1:9" ht="15" customHeight="1" x14ac:dyDescent="0.25">
      <c r="A825" s="2" t="s">
        <v>90</v>
      </c>
      <c r="B825" s="2" t="s">
        <v>143</v>
      </c>
      <c r="C825" s="2" t="s">
        <v>144</v>
      </c>
      <c r="D825" s="4">
        <v>58.999624689000001</v>
      </c>
      <c r="E825" s="3">
        <v>50.38</v>
      </c>
      <c r="F825" s="3">
        <v>2972.4</v>
      </c>
      <c r="G825" s="3">
        <v>50.67</v>
      </c>
      <c r="H825" s="3">
        <v>-17.329999999999998</v>
      </c>
      <c r="I825" s="3">
        <v>2989.74</v>
      </c>
    </row>
    <row r="826" spans="1:9" ht="15" customHeight="1" x14ac:dyDescent="0.25">
      <c r="A826" s="2" t="s">
        <v>90</v>
      </c>
      <c r="B826" s="2" t="s">
        <v>185</v>
      </c>
      <c r="C826" s="2" t="s">
        <v>186</v>
      </c>
      <c r="D826" s="4">
        <v>9.2559773159999992</v>
      </c>
      <c r="E826" s="3">
        <v>46.71</v>
      </c>
      <c r="F826" s="3">
        <v>432.35</v>
      </c>
      <c r="G826" s="3">
        <v>48.03</v>
      </c>
      <c r="H826" s="3">
        <v>-12.21</v>
      </c>
      <c r="I826" s="3">
        <v>444.56</v>
      </c>
    </row>
    <row r="827" spans="1:9" ht="15" customHeight="1" x14ac:dyDescent="0.25">
      <c r="A827" s="2" t="s">
        <v>90</v>
      </c>
      <c r="B827" s="2" t="s">
        <v>218</v>
      </c>
      <c r="C827" s="2" t="s">
        <v>219</v>
      </c>
      <c r="D827" s="4">
        <v>14.036122595</v>
      </c>
      <c r="E827" s="3">
        <v>58.04</v>
      </c>
      <c r="F827" s="3">
        <v>814.66</v>
      </c>
      <c r="G827" s="3">
        <v>56.47</v>
      </c>
      <c r="H827" s="3">
        <v>22.08</v>
      </c>
      <c r="I827" s="3">
        <v>792.57</v>
      </c>
    </row>
    <row r="828" spans="1:9" ht="15" customHeight="1" x14ac:dyDescent="0.25">
      <c r="A828" s="2" t="s">
        <v>90</v>
      </c>
      <c r="B828" s="2" t="s">
        <v>121</v>
      </c>
      <c r="C828" s="2" t="s">
        <v>172</v>
      </c>
      <c r="D828" s="4">
        <v>46.50767862</v>
      </c>
      <c r="E828" s="3">
        <v>27.83</v>
      </c>
      <c r="F828" s="3">
        <v>1294.31</v>
      </c>
      <c r="G828" s="3">
        <v>37.74</v>
      </c>
      <c r="H828" s="3">
        <v>-460.96</v>
      </c>
      <c r="I828" s="3">
        <v>1755.27</v>
      </c>
    </row>
    <row r="829" spans="1:9" ht="15" customHeight="1" x14ac:dyDescent="0.25">
      <c r="A829" s="2" t="s">
        <v>90</v>
      </c>
      <c r="B829" s="2" t="s">
        <v>173</v>
      </c>
      <c r="C829" s="2" t="s">
        <v>174</v>
      </c>
      <c r="D829" s="4">
        <v>3.147079266</v>
      </c>
      <c r="E829" s="3">
        <v>81.56</v>
      </c>
      <c r="F829" s="3">
        <v>256.68</v>
      </c>
      <c r="G829" s="3">
        <v>63.45</v>
      </c>
      <c r="H829" s="3">
        <v>57</v>
      </c>
      <c r="I829" s="3">
        <v>199.68</v>
      </c>
    </row>
    <row r="830" spans="1:9" ht="15" customHeight="1" x14ac:dyDescent="0.25">
      <c r="A830" s="2" t="s">
        <v>90</v>
      </c>
      <c r="B830" s="2" t="s">
        <v>242</v>
      </c>
      <c r="C830" s="2" t="s">
        <v>243</v>
      </c>
      <c r="D830" s="4">
        <v>7.874658771</v>
      </c>
      <c r="E830" s="3">
        <v>8.94</v>
      </c>
      <c r="F830" s="3">
        <v>70.400000000000006</v>
      </c>
      <c r="G830" s="3">
        <v>19.05</v>
      </c>
      <c r="H830" s="3">
        <v>-79.599999999999994</v>
      </c>
      <c r="I830" s="3">
        <v>150</v>
      </c>
    </row>
    <row r="831" spans="1:9" ht="15" customHeight="1" x14ac:dyDescent="0.25">
      <c r="A831" s="2" t="s">
        <v>90</v>
      </c>
      <c r="B831" s="2" t="s">
        <v>265</v>
      </c>
      <c r="C831" s="2" t="s">
        <v>266</v>
      </c>
      <c r="D831" s="4">
        <v>0.47506711499999998</v>
      </c>
      <c r="E831" s="3">
        <v>392.74</v>
      </c>
      <c r="F831" s="3">
        <v>186.58</v>
      </c>
      <c r="G831" s="3">
        <v>399.31</v>
      </c>
      <c r="H831" s="3">
        <v>-3.12</v>
      </c>
      <c r="I831" s="3">
        <v>189.7</v>
      </c>
    </row>
    <row r="832" spans="1:9" ht="15" customHeight="1" x14ac:dyDescent="0.25">
      <c r="A832" s="2" t="s">
        <v>90</v>
      </c>
      <c r="B832" s="2" t="s">
        <v>179</v>
      </c>
      <c r="C832" s="2" t="s">
        <v>180</v>
      </c>
      <c r="D832" s="4">
        <v>38</v>
      </c>
      <c r="E832" s="3">
        <v>18.38</v>
      </c>
      <c r="F832" s="3">
        <v>698.44</v>
      </c>
      <c r="G832" s="3">
        <v>24.55</v>
      </c>
      <c r="H832" s="3">
        <v>-234.64</v>
      </c>
      <c r="I832" s="3">
        <v>933.08</v>
      </c>
    </row>
    <row r="833" spans="1:9" ht="15" customHeight="1" x14ac:dyDescent="0.25">
      <c r="A833" s="2" t="s">
        <v>90</v>
      </c>
      <c r="B833" s="2" t="s">
        <v>152</v>
      </c>
      <c r="C833" s="2" t="s">
        <v>230</v>
      </c>
      <c r="D833" s="4">
        <v>11.85548324</v>
      </c>
      <c r="E833" s="3">
        <v>23.06</v>
      </c>
      <c r="F833" s="3">
        <v>273.39</v>
      </c>
      <c r="G833" s="3">
        <v>100.53</v>
      </c>
      <c r="H833" s="3">
        <v>-918.46</v>
      </c>
      <c r="I833" s="3">
        <v>1191.8499999999999</v>
      </c>
    </row>
    <row r="834" spans="1:9" ht="15" customHeight="1" x14ac:dyDescent="0.25">
      <c r="A834" s="2" t="s">
        <v>90</v>
      </c>
      <c r="B834" s="2" t="s">
        <v>113</v>
      </c>
      <c r="C834" s="2" t="s">
        <v>114</v>
      </c>
      <c r="D834" s="4">
        <v>2.9389128389999999</v>
      </c>
      <c r="E834" s="3">
        <v>87.58</v>
      </c>
      <c r="F834" s="3">
        <v>257.39</v>
      </c>
      <c r="G834" s="3">
        <v>69.989999999999995</v>
      </c>
      <c r="H834" s="3">
        <v>51.71</v>
      </c>
      <c r="I834" s="3">
        <v>205.68</v>
      </c>
    </row>
    <row r="835" spans="1:9" ht="15" customHeight="1" x14ac:dyDescent="0.25">
      <c r="A835" s="2" t="s">
        <v>90</v>
      </c>
      <c r="B835" s="2" t="s">
        <v>252</v>
      </c>
      <c r="C835" s="2" t="s">
        <v>267</v>
      </c>
      <c r="D835" s="4">
        <v>1.133412042</v>
      </c>
      <c r="E835" s="3">
        <v>96.24</v>
      </c>
      <c r="F835" s="3">
        <v>109.08</v>
      </c>
      <c r="G835" s="3">
        <v>88.09</v>
      </c>
      <c r="H835" s="3">
        <v>9.24</v>
      </c>
      <c r="I835" s="3">
        <v>99.84</v>
      </c>
    </row>
    <row r="836" spans="1:9" ht="15" customHeight="1" x14ac:dyDescent="0.25">
      <c r="A836" s="2" t="s">
        <v>90</v>
      </c>
      <c r="B836" s="2" t="s">
        <v>254</v>
      </c>
      <c r="C836" s="2" t="s">
        <v>255</v>
      </c>
      <c r="D836" s="4">
        <v>2.4299728900000002</v>
      </c>
      <c r="E836" s="3">
        <v>38.28</v>
      </c>
      <c r="F836" s="3">
        <v>93.02</v>
      </c>
      <c r="G836" s="3">
        <v>53.41</v>
      </c>
      <c r="H836" s="3">
        <v>-36.770000000000003</v>
      </c>
      <c r="I836" s="3">
        <v>129.79</v>
      </c>
    </row>
    <row r="837" spans="1:9" ht="15" customHeight="1" x14ac:dyDescent="0.25">
      <c r="A837" s="2" t="s">
        <v>90</v>
      </c>
      <c r="B837" s="2" t="s">
        <v>145</v>
      </c>
      <c r="C837" s="2" t="s">
        <v>231</v>
      </c>
      <c r="D837" s="4">
        <v>53.212463429000003</v>
      </c>
      <c r="E837" s="3">
        <v>13.3</v>
      </c>
      <c r="F837" s="3">
        <v>707.73</v>
      </c>
      <c r="G837" s="3">
        <v>21.44</v>
      </c>
      <c r="H837" s="3">
        <v>-433.24</v>
      </c>
      <c r="I837" s="3">
        <v>1140.97</v>
      </c>
    </row>
    <row r="838" spans="1:9" ht="15" customHeight="1" x14ac:dyDescent="0.25">
      <c r="A838" s="2" t="s">
        <v>90</v>
      </c>
      <c r="B838" s="2" t="s">
        <v>154</v>
      </c>
      <c r="C838" s="2" t="s">
        <v>155</v>
      </c>
      <c r="D838" s="4">
        <v>8.2322736879999994</v>
      </c>
      <c r="E838" s="3">
        <v>67</v>
      </c>
      <c r="F838" s="3">
        <v>551.55999999999995</v>
      </c>
      <c r="G838" s="3">
        <v>60.27</v>
      </c>
      <c r="H838" s="3">
        <v>55.37</v>
      </c>
      <c r="I838" s="3">
        <v>496.19</v>
      </c>
    </row>
    <row r="839" spans="1:9" ht="15" customHeight="1" x14ac:dyDescent="0.25">
      <c r="A839" s="2" t="s">
        <v>90</v>
      </c>
      <c r="B839" s="2" t="s">
        <v>256</v>
      </c>
      <c r="C839" s="2" t="s">
        <v>268</v>
      </c>
      <c r="D839" s="4">
        <v>20.081432613</v>
      </c>
      <c r="E839" s="3">
        <v>10.08</v>
      </c>
      <c r="F839" s="3">
        <v>202.42</v>
      </c>
      <c r="G839" s="3">
        <v>14.92</v>
      </c>
      <c r="H839" s="3">
        <v>-97.1</v>
      </c>
      <c r="I839" s="3">
        <v>299.52</v>
      </c>
    </row>
    <row r="840" spans="1:9" ht="15" customHeight="1" x14ac:dyDescent="0.25">
      <c r="A840" s="2" t="s">
        <v>90</v>
      </c>
      <c r="B840" s="2" t="s">
        <v>244</v>
      </c>
      <c r="C840" s="2" t="s">
        <v>245</v>
      </c>
      <c r="D840" s="4">
        <v>5.7262678359999999</v>
      </c>
      <c r="E840" s="3">
        <v>21.44</v>
      </c>
      <c r="F840" s="3">
        <v>122.77</v>
      </c>
      <c r="G840" s="3">
        <v>21.62</v>
      </c>
      <c r="H840" s="3">
        <v>-1.03</v>
      </c>
      <c r="I840" s="3">
        <v>123.8</v>
      </c>
    </row>
    <row r="841" spans="1:9" ht="15" customHeight="1" x14ac:dyDescent="0.25">
      <c r="A841" s="2" t="s">
        <v>90</v>
      </c>
      <c r="B841" s="2" t="s">
        <v>129</v>
      </c>
      <c r="C841" s="2" t="s">
        <v>130</v>
      </c>
      <c r="D841" s="4">
        <v>65</v>
      </c>
      <c r="E841" s="3">
        <v>48.95</v>
      </c>
      <c r="F841" s="3">
        <v>3181.86</v>
      </c>
      <c r="G841" s="3">
        <v>50.09</v>
      </c>
      <c r="H841" s="3">
        <v>-73.97</v>
      </c>
      <c r="I841" s="3">
        <v>3255.83</v>
      </c>
    </row>
    <row r="842" spans="1:9" ht="15" customHeight="1" x14ac:dyDescent="0.25">
      <c r="A842" s="2" t="s">
        <v>90</v>
      </c>
      <c r="B842" s="2" t="s">
        <v>175</v>
      </c>
      <c r="C842" s="2" t="s">
        <v>176</v>
      </c>
      <c r="D842" s="4">
        <v>4.7334800709999998</v>
      </c>
      <c r="E842" s="3">
        <v>137.19</v>
      </c>
      <c r="F842" s="3">
        <v>649.39</v>
      </c>
      <c r="G842" s="3">
        <v>93.65</v>
      </c>
      <c r="H842" s="3">
        <v>206.1</v>
      </c>
      <c r="I842" s="3">
        <v>443.29</v>
      </c>
    </row>
    <row r="843" spans="1:9" ht="15" customHeight="1" x14ac:dyDescent="0.25">
      <c r="A843" s="2" t="s">
        <v>90</v>
      </c>
      <c r="B843" s="2" t="s">
        <v>194</v>
      </c>
      <c r="C843" s="2" t="s">
        <v>232</v>
      </c>
      <c r="D843" s="4">
        <v>14</v>
      </c>
      <c r="E843" s="3">
        <v>38.409999999999997</v>
      </c>
      <c r="F843" s="3">
        <v>537.74</v>
      </c>
      <c r="G843" s="3">
        <v>65.540000000000006</v>
      </c>
      <c r="H843" s="3">
        <v>-379.79</v>
      </c>
      <c r="I843" s="3">
        <v>917.53</v>
      </c>
    </row>
    <row r="844" spans="1:9" ht="15" customHeight="1" x14ac:dyDescent="0.25">
      <c r="A844" s="2" t="s">
        <v>90</v>
      </c>
      <c r="B844" s="2" t="s">
        <v>233</v>
      </c>
      <c r="C844" s="2" t="s">
        <v>234</v>
      </c>
      <c r="D844" s="4">
        <v>4.2653438039999996</v>
      </c>
      <c r="E844" s="3">
        <v>69.099999999999994</v>
      </c>
      <c r="F844" s="3">
        <v>294.74</v>
      </c>
      <c r="G844" s="3">
        <v>46.2</v>
      </c>
      <c r="H844" s="3">
        <v>97.7</v>
      </c>
      <c r="I844" s="3">
        <v>197.04</v>
      </c>
    </row>
    <row r="845" spans="1:9" ht="15" customHeight="1" x14ac:dyDescent="0.25">
      <c r="A845" s="2" t="s">
        <v>90</v>
      </c>
      <c r="B845" s="2" t="s">
        <v>213</v>
      </c>
      <c r="C845" s="2" t="s">
        <v>214</v>
      </c>
      <c r="D845" s="4">
        <v>15.966820526999999</v>
      </c>
      <c r="E845" s="3">
        <v>31.77</v>
      </c>
      <c r="F845" s="3">
        <v>507.27</v>
      </c>
      <c r="G845" s="3">
        <v>27.15</v>
      </c>
      <c r="H845" s="3">
        <v>73.83</v>
      </c>
      <c r="I845" s="3">
        <v>433.44</v>
      </c>
    </row>
    <row r="846" spans="1:9" ht="15" customHeight="1" x14ac:dyDescent="0.25">
      <c r="A846" s="2" t="s">
        <v>90</v>
      </c>
      <c r="B846" s="2" t="s">
        <v>247</v>
      </c>
      <c r="C846" s="2" t="s">
        <v>248</v>
      </c>
      <c r="D846" s="4">
        <v>12.181604728</v>
      </c>
      <c r="E846" s="3">
        <v>30.74</v>
      </c>
      <c r="F846" s="3">
        <v>374.46</v>
      </c>
      <c r="G846" s="3">
        <v>32.840000000000003</v>
      </c>
      <c r="H846" s="3">
        <v>-25.54</v>
      </c>
      <c r="I846" s="3">
        <v>400</v>
      </c>
    </row>
    <row r="847" spans="1:9" ht="15" customHeight="1" x14ac:dyDescent="0.25">
      <c r="A847" s="2" t="s">
        <v>90</v>
      </c>
      <c r="B847" s="2" t="s">
        <v>196</v>
      </c>
      <c r="C847" s="2" t="s">
        <v>197</v>
      </c>
      <c r="D847" s="4">
        <v>32.252018972000002</v>
      </c>
      <c r="E847" s="3">
        <v>26.23</v>
      </c>
      <c r="F847" s="3">
        <v>845.97</v>
      </c>
      <c r="G847" s="3">
        <v>23.38</v>
      </c>
      <c r="H847" s="3">
        <v>91.88</v>
      </c>
      <c r="I847" s="3">
        <v>754.09</v>
      </c>
    </row>
    <row r="848" spans="1:9" ht="15" customHeight="1" x14ac:dyDescent="0.25">
      <c r="A848" s="2" t="s">
        <v>90</v>
      </c>
      <c r="B848" s="2" t="s">
        <v>119</v>
      </c>
      <c r="C848" s="2" t="s">
        <v>120</v>
      </c>
      <c r="D848" s="4">
        <v>46.747440206</v>
      </c>
      <c r="E848" s="3">
        <v>100.64</v>
      </c>
      <c r="F848" s="3">
        <v>4704.66</v>
      </c>
      <c r="G848" s="3">
        <v>100.31</v>
      </c>
      <c r="H848" s="3">
        <v>15.27</v>
      </c>
      <c r="I848" s="3">
        <v>4689.3900000000003</v>
      </c>
    </row>
    <row r="849" spans="1:9" ht="15" customHeight="1" x14ac:dyDescent="0.25">
      <c r="A849" s="2" t="s">
        <v>90</v>
      </c>
      <c r="B849" s="2" t="s">
        <v>115</v>
      </c>
      <c r="C849" s="2" t="s">
        <v>249</v>
      </c>
      <c r="D849" s="4">
        <v>59.283830123000001</v>
      </c>
      <c r="E849" s="3">
        <v>110.39</v>
      </c>
      <c r="F849" s="3">
        <v>6544.34</v>
      </c>
      <c r="G849" s="3">
        <v>110.07</v>
      </c>
      <c r="H849" s="3">
        <v>18.7</v>
      </c>
      <c r="I849" s="3">
        <v>6525.64</v>
      </c>
    </row>
    <row r="850" spans="1:9" ht="15" customHeight="1" x14ac:dyDescent="0.25">
      <c r="A850" s="2" t="s">
        <v>90</v>
      </c>
      <c r="B850" s="2" t="s">
        <v>181</v>
      </c>
      <c r="C850" s="2" t="s">
        <v>182</v>
      </c>
      <c r="D850" s="4">
        <v>9.5861616040000008</v>
      </c>
      <c r="E850" s="3">
        <v>21.96</v>
      </c>
      <c r="F850" s="3">
        <v>210.51</v>
      </c>
      <c r="G850" s="3">
        <v>26.04</v>
      </c>
      <c r="H850" s="3">
        <v>-39.090000000000003</v>
      </c>
      <c r="I850" s="3">
        <v>249.6</v>
      </c>
    </row>
    <row r="851" spans="1:9" ht="15" customHeight="1" x14ac:dyDescent="0.25">
      <c r="A851" s="2" t="s">
        <v>90</v>
      </c>
      <c r="B851" s="2" t="s">
        <v>162</v>
      </c>
      <c r="C851" s="2" t="s">
        <v>246</v>
      </c>
      <c r="D851" s="4">
        <v>55.188586039999997</v>
      </c>
      <c r="E851" s="3">
        <v>25.25</v>
      </c>
      <c r="F851" s="3">
        <v>1393.51</v>
      </c>
      <c r="G851" s="3">
        <v>25.29</v>
      </c>
      <c r="H851" s="3">
        <v>-2.2200000000000002</v>
      </c>
      <c r="I851" s="3">
        <v>1395.73</v>
      </c>
    </row>
    <row r="852" spans="1:9" ht="15" customHeight="1" x14ac:dyDescent="0.25">
      <c r="A852" s="2" t="s">
        <v>90</v>
      </c>
      <c r="B852" s="2" t="s">
        <v>222</v>
      </c>
      <c r="C852" s="2" t="s">
        <v>223</v>
      </c>
      <c r="D852" s="4">
        <v>13.370193596</v>
      </c>
      <c r="E852" s="3">
        <v>3.54</v>
      </c>
      <c r="F852" s="3">
        <v>47.33</v>
      </c>
      <c r="G852" s="3">
        <v>3.73</v>
      </c>
      <c r="H852" s="3">
        <v>-2.5299999999999998</v>
      </c>
      <c r="I852" s="3">
        <v>49.86</v>
      </c>
    </row>
    <row r="853" spans="1:9" ht="15" customHeight="1" x14ac:dyDescent="0.25">
      <c r="A853" s="2" t="s">
        <v>90</v>
      </c>
      <c r="B853" s="2" t="s">
        <v>177</v>
      </c>
      <c r="C853" s="2" t="s">
        <v>269</v>
      </c>
      <c r="D853" s="4">
        <v>1.061371047</v>
      </c>
      <c r="E853" s="3">
        <v>374.58</v>
      </c>
      <c r="F853" s="3">
        <v>397.57</v>
      </c>
      <c r="G853" s="3">
        <v>209.15</v>
      </c>
      <c r="H853" s="3">
        <v>175.58</v>
      </c>
      <c r="I853" s="3">
        <v>221.99</v>
      </c>
    </row>
    <row r="854" spans="1:9" ht="15" customHeight="1" x14ac:dyDescent="0.25">
      <c r="A854" s="2" t="s">
        <v>90</v>
      </c>
      <c r="B854" s="2" t="s">
        <v>235</v>
      </c>
      <c r="C854" s="2" t="s">
        <v>236</v>
      </c>
      <c r="D854" s="4">
        <v>0.71350215900000002</v>
      </c>
      <c r="E854" s="3">
        <v>293.27</v>
      </c>
      <c r="F854" s="3">
        <v>209.25</v>
      </c>
      <c r="G854" s="3">
        <v>307.85000000000002</v>
      </c>
      <c r="H854" s="3">
        <v>-10.4</v>
      </c>
      <c r="I854" s="3">
        <v>219.65</v>
      </c>
    </row>
    <row r="855" spans="1:9" ht="15" customHeight="1" x14ac:dyDescent="0.25">
      <c r="A855" s="2" t="s">
        <v>90</v>
      </c>
      <c r="B855" s="2" t="s">
        <v>190</v>
      </c>
      <c r="C855" s="2" t="s">
        <v>191</v>
      </c>
      <c r="D855" s="4">
        <v>27</v>
      </c>
      <c r="E855" s="3">
        <v>27.08</v>
      </c>
      <c r="F855" s="3">
        <v>731.16</v>
      </c>
      <c r="G855" s="3">
        <v>24.98</v>
      </c>
      <c r="H855" s="3">
        <v>56.68</v>
      </c>
      <c r="I855" s="3">
        <v>674.48</v>
      </c>
    </row>
    <row r="856" spans="1:9" ht="15" customHeight="1" x14ac:dyDescent="0.25">
      <c r="A856" s="2" t="s">
        <v>90</v>
      </c>
      <c r="B856" s="2" t="s">
        <v>258</v>
      </c>
      <c r="C856" s="2" t="s">
        <v>259</v>
      </c>
      <c r="D856" s="4">
        <v>0.448675096</v>
      </c>
      <c r="E856" s="3">
        <v>320.14</v>
      </c>
      <c r="F856" s="3">
        <v>143.63999999999999</v>
      </c>
      <c r="G856" s="3">
        <v>356.03</v>
      </c>
      <c r="H856" s="3">
        <v>-16.100000000000001</v>
      </c>
      <c r="I856" s="3">
        <v>159.74</v>
      </c>
    </row>
    <row r="857" spans="1:9" ht="15" customHeight="1" x14ac:dyDescent="0.25">
      <c r="A857" s="2" t="s">
        <v>90</v>
      </c>
      <c r="B857" s="2" t="s">
        <v>260</v>
      </c>
      <c r="C857" s="2" t="s">
        <v>261</v>
      </c>
      <c r="D857" s="4">
        <v>8.1980030540000008</v>
      </c>
      <c r="E857" s="3">
        <v>12.61</v>
      </c>
      <c r="F857" s="3">
        <v>103.38</v>
      </c>
      <c r="G857" s="3">
        <v>12.18</v>
      </c>
      <c r="H857" s="3">
        <v>3.54</v>
      </c>
      <c r="I857" s="3">
        <v>99.84</v>
      </c>
    </row>
    <row r="858" spans="1:9" ht="15" customHeight="1" x14ac:dyDescent="0.25">
      <c r="A858" s="2" t="s">
        <v>90</v>
      </c>
      <c r="B858" s="2" t="s">
        <v>136</v>
      </c>
      <c r="C858" s="2" t="s">
        <v>151</v>
      </c>
      <c r="D858" s="4">
        <v>60.834660069000002</v>
      </c>
      <c r="E858" s="3">
        <v>25.11</v>
      </c>
      <c r="F858" s="3">
        <v>1527.56</v>
      </c>
      <c r="G858" s="3">
        <v>25.08</v>
      </c>
      <c r="H858" s="3">
        <v>1.9</v>
      </c>
      <c r="I858" s="3">
        <v>1525.66</v>
      </c>
    </row>
    <row r="859" spans="1:9" ht="15" customHeight="1" x14ac:dyDescent="0.25">
      <c r="A859" s="2" t="s">
        <v>90</v>
      </c>
      <c r="B859" s="2" t="s">
        <v>164</v>
      </c>
      <c r="C859" s="2" t="s">
        <v>237</v>
      </c>
      <c r="D859" s="4">
        <v>32.707712825999998</v>
      </c>
      <c r="E859" s="3">
        <v>8.6199999999999992</v>
      </c>
      <c r="F859" s="3">
        <v>281.94</v>
      </c>
      <c r="G859" s="3">
        <v>17.149999999999999</v>
      </c>
      <c r="H859" s="3">
        <v>-278.86</v>
      </c>
      <c r="I859" s="3">
        <v>560.79999999999995</v>
      </c>
    </row>
    <row r="860" spans="1:9" ht="15" customHeight="1" x14ac:dyDescent="0.25">
      <c r="A860" s="2" t="s">
        <v>92</v>
      </c>
      <c r="B860" s="2" t="s">
        <v>104</v>
      </c>
      <c r="C860" s="2" t="s">
        <v>105</v>
      </c>
      <c r="D860" s="4" t="s">
        <v>106</v>
      </c>
      <c r="E860" s="3"/>
      <c r="F860" s="3">
        <v>137.02000000000001</v>
      </c>
      <c r="G860" s="3"/>
      <c r="H860" s="3"/>
      <c r="I860" s="3"/>
    </row>
    <row r="861" spans="1:9" ht="15" customHeight="1" x14ac:dyDescent="0.25">
      <c r="A861" s="2" t="s">
        <v>92</v>
      </c>
      <c r="B861" s="2" t="s">
        <v>192</v>
      </c>
      <c r="C861" s="2" t="s">
        <v>193</v>
      </c>
      <c r="D861" s="4">
        <v>7.7351955419999996</v>
      </c>
      <c r="E861" s="3">
        <v>46.67</v>
      </c>
      <c r="F861" s="3">
        <v>361</v>
      </c>
      <c r="G861" s="3">
        <v>47.35</v>
      </c>
      <c r="H861" s="3">
        <v>-5.3</v>
      </c>
      <c r="I861" s="3">
        <v>366.3</v>
      </c>
    </row>
    <row r="862" spans="1:9" ht="15" customHeight="1" x14ac:dyDescent="0.25">
      <c r="A862" s="2" t="s">
        <v>92</v>
      </c>
      <c r="B862" s="2" t="s">
        <v>215</v>
      </c>
      <c r="C862" s="2" t="s">
        <v>180</v>
      </c>
      <c r="D862" s="4">
        <v>26</v>
      </c>
      <c r="E862" s="3">
        <v>23.34</v>
      </c>
      <c r="F862" s="3">
        <v>606.84</v>
      </c>
      <c r="G862" s="3">
        <v>29.11</v>
      </c>
      <c r="H862" s="3">
        <v>-149.94999999999999</v>
      </c>
      <c r="I862" s="3">
        <v>756.79</v>
      </c>
    </row>
    <row r="863" spans="1:9" ht="15" customHeight="1" x14ac:dyDescent="0.25">
      <c r="A863" s="2" t="s">
        <v>92</v>
      </c>
      <c r="B863" s="2" t="s">
        <v>111</v>
      </c>
      <c r="C863" s="2" t="s">
        <v>131</v>
      </c>
      <c r="D863" s="4">
        <v>1.658571494</v>
      </c>
      <c r="E863" s="3">
        <v>151.28</v>
      </c>
      <c r="F863" s="3">
        <v>250.91</v>
      </c>
      <c r="G863" s="3">
        <v>120.02</v>
      </c>
      <c r="H863" s="3">
        <v>51.84</v>
      </c>
      <c r="I863" s="3">
        <v>199.07</v>
      </c>
    </row>
    <row r="864" spans="1:9" ht="15" customHeight="1" x14ac:dyDescent="0.25">
      <c r="A864" s="2" t="s">
        <v>92</v>
      </c>
      <c r="B864" s="2" t="s">
        <v>240</v>
      </c>
      <c r="C864" s="2" t="s">
        <v>262</v>
      </c>
      <c r="D864" s="4">
        <v>3.177861322</v>
      </c>
      <c r="E864" s="3">
        <v>62.68</v>
      </c>
      <c r="F864" s="3">
        <v>199.19</v>
      </c>
      <c r="G864" s="3">
        <v>75.400000000000006</v>
      </c>
      <c r="H864" s="3">
        <v>-40.43</v>
      </c>
      <c r="I864" s="3">
        <v>239.62</v>
      </c>
    </row>
    <row r="865" spans="1:9" ht="15" customHeight="1" x14ac:dyDescent="0.25">
      <c r="A865" s="2" t="s">
        <v>92</v>
      </c>
      <c r="B865" s="2" t="s">
        <v>183</v>
      </c>
      <c r="C865" s="2" t="s">
        <v>184</v>
      </c>
      <c r="D865" s="4">
        <v>30.753350697999998</v>
      </c>
      <c r="E865" s="3">
        <v>25.65</v>
      </c>
      <c r="F865" s="3">
        <v>788.82</v>
      </c>
      <c r="G865" s="3">
        <v>26.53</v>
      </c>
      <c r="H865" s="3">
        <v>-27.12</v>
      </c>
      <c r="I865" s="3">
        <v>815.94</v>
      </c>
    </row>
    <row r="866" spans="1:9" ht="15" customHeight="1" x14ac:dyDescent="0.25">
      <c r="A866" s="2" t="s">
        <v>92</v>
      </c>
      <c r="B866" s="2" t="s">
        <v>140</v>
      </c>
      <c r="C866" s="2" t="s">
        <v>224</v>
      </c>
      <c r="D866" s="4">
        <v>10.759141935000001</v>
      </c>
      <c r="E866" s="3">
        <v>26.34</v>
      </c>
      <c r="F866" s="3">
        <v>283.39999999999998</v>
      </c>
      <c r="G866" s="3">
        <v>130.37</v>
      </c>
      <c r="H866" s="3">
        <v>-1119.23</v>
      </c>
      <c r="I866" s="3">
        <v>1402.62</v>
      </c>
    </row>
    <row r="867" spans="1:9" ht="15" customHeight="1" x14ac:dyDescent="0.25">
      <c r="A867" s="2" t="s">
        <v>92</v>
      </c>
      <c r="B867" s="2" t="s">
        <v>225</v>
      </c>
      <c r="C867" s="2" t="s">
        <v>226</v>
      </c>
      <c r="D867" s="4">
        <v>9.5098942809999993</v>
      </c>
      <c r="E867" s="3">
        <v>34.380000000000003</v>
      </c>
      <c r="F867" s="3">
        <v>326.95</v>
      </c>
      <c r="G867" s="3">
        <v>30.13</v>
      </c>
      <c r="H867" s="3">
        <v>40.42</v>
      </c>
      <c r="I867" s="3">
        <v>286.52999999999997</v>
      </c>
    </row>
    <row r="868" spans="1:9" ht="15" customHeight="1" x14ac:dyDescent="0.25">
      <c r="A868" s="2" t="s">
        <v>92</v>
      </c>
      <c r="B868" s="2" t="s">
        <v>158</v>
      </c>
      <c r="C868" s="2" t="s">
        <v>227</v>
      </c>
      <c r="D868" s="4">
        <v>22.895187904</v>
      </c>
      <c r="E868" s="3">
        <v>10.09</v>
      </c>
      <c r="F868" s="3">
        <v>231.01</v>
      </c>
      <c r="G868" s="3">
        <v>17.399999999999999</v>
      </c>
      <c r="H868" s="3">
        <v>-167.47</v>
      </c>
      <c r="I868" s="3">
        <v>398.48</v>
      </c>
    </row>
    <row r="869" spans="1:9" ht="15" customHeight="1" x14ac:dyDescent="0.25">
      <c r="A869" s="2" t="s">
        <v>92</v>
      </c>
      <c r="B869" s="2" t="s">
        <v>166</v>
      </c>
      <c r="C869" s="2" t="s">
        <v>167</v>
      </c>
      <c r="D869" s="4">
        <v>20.663491912000001</v>
      </c>
      <c r="E869" s="3">
        <v>50.95</v>
      </c>
      <c r="F869" s="3">
        <v>1052.8</v>
      </c>
      <c r="G869" s="3">
        <v>50.86</v>
      </c>
      <c r="H869" s="3">
        <v>1.81</v>
      </c>
      <c r="I869" s="3">
        <v>1051</v>
      </c>
    </row>
    <row r="870" spans="1:9" ht="15" customHeight="1" x14ac:dyDescent="0.25">
      <c r="A870" s="2" t="s">
        <v>92</v>
      </c>
      <c r="B870" s="2" t="s">
        <v>170</v>
      </c>
      <c r="C870" s="2" t="s">
        <v>228</v>
      </c>
      <c r="D870" s="4">
        <v>14.644582574999999</v>
      </c>
      <c r="E870" s="3">
        <v>46.31</v>
      </c>
      <c r="F870" s="3">
        <v>678.19</v>
      </c>
      <c r="G870" s="3">
        <v>47.39</v>
      </c>
      <c r="H870" s="3">
        <v>-15.81</v>
      </c>
      <c r="I870" s="3">
        <v>694</v>
      </c>
    </row>
    <row r="871" spans="1:9" ht="15" customHeight="1" x14ac:dyDescent="0.25">
      <c r="A871" s="2" t="s">
        <v>92</v>
      </c>
      <c r="B871" s="2" t="s">
        <v>127</v>
      </c>
      <c r="C871" s="2" t="s">
        <v>128</v>
      </c>
      <c r="D871" s="4">
        <v>136.050720025</v>
      </c>
      <c r="E871" s="3">
        <v>25.48</v>
      </c>
      <c r="F871" s="3">
        <v>3466.57</v>
      </c>
      <c r="G871" s="3">
        <v>25.41</v>
      </c>
      <c r="H871" s="3">
        <v>10.029999999999999</v>
      </c>
      <c r="I871" s="3">
        <v>3456.54</v>
      </c>
    </row>
    <row r="872" spans="1:9" ht="15" customHeight="1" x14ac:dyDescent="0.25">
      <c r="A872" s="2" t="s">
        <v>92</v>
      </c>
      <c r="B872" s="2" t="s">
        <v>132</v>
      </c>
      <c r="C872" s="2" t="s">
        <v>229</v>
      </c>
      <c r="D872" s="4">
        <v>84</v>
      </c>
      <c r="E872" s="3">
        <v>12.7</v>
      </c>
      <c r="F872" s="3">
        <v>1066.8</v>
      </c>
      <c r="G872" s="3">
        <v>15.07</v>
      </c>
      <c r="H872" s="3">
        <v>-199.16</v>
      </c>
      <c r="I872" s="3">
        <v>1265.96</v>
      </c>
    </row>
    <row r="873" spans="1:9" ht="15" customHeight="1" x14ac:dyDescent="0.25">
      <c r="A873" s="2" t="s">
        <v>92</v>
      </c>
      <c r="B873" s="2" t="s">
        <v>134</v>
      </c>
      <c r="C873" s="2" t="s">
        <v>142</v>
      </c>
      <c r="D873" s="4">
        <v>89.584246945999993</v>
      </c>
      <c r="E873" s="3">
        <v>25.51</v>
      </c>
      <c r="F873" s="3">
        <v>2285.29</v>
      </c>
      <c r="G873" s="3">
        <v>25.62</v>
      </c>
      <c r="H873" s="3">
        <v>-9.6</v>
      </c>
      <c r="I873" s="3">
        <v>2294.9</v>
      </c>
    </row>
    <row r="874" spans="1:9" ht="15" customHeight="1" x14ac:dyDescent="0.25">
      <c r="A874" s="2" t="s">
        <v>92</v>
      </c>
      <c r="B874" s="2" t="s">
        <v>143</v>
      </c>
      <c r="C874" s="2" t="s">
        <v>144</v>
      </c>
      <c r="D874" s="4">
        <v>60.942127865000003</v>
      </c>
      <c r="E874" s="3">
        <v>50.37</v>
      </c>
      <c r="F874" s="3">
        <v>3069.65</v>
      </c>
      <c r="G874" s="3">
        <v>50.66</v>
      </c>
      <c r="H874" s="3">
        <v>-17.920000000000002</v>
      </c>
      <c r="I874" s="3">
        <v>3087.58</v>
      </c>
    </row>
    <row r="875" spans="1:9" ht="15" customHeight="1" x14ac:dyDescent="0.25">
      <c r="A875" s="2" t="s">
        <v>92</v>
      </c>
      <c r="B875" s="2" t="s">
        <v>185</v>
      </c>
      <c r="C875" s="2" t="s">
        <v>186</v>
      </c>
      <c r="D875" s="4">
        <v>10.929160832999999</v>
      </c>
      <c r="E875" s="3">
        <v>46.61</v>
      </c>
      <c r="F875" s="3">
        <v>509.35</v>
      </c>
      <c r="G875" s="3">
        <v>47.8</v>
      </c>
      <c r="H875" s="3">
        <v>-13.09</v>
      </c>
      <c r="I875" s="3">
        <v>522.44000000000005</v>
      </c>
    </row>
    <row r="876" spans="1:9" ht="15" customHeight="1" x14ac:dyDescent="0.25">
      <c r="A876" s="2" t="s">
        <v>92</v>
      </c>
      <c r="B876" s="2" t="s">
        <v>218</v>
      </c>
      <c r="C876" s="2" t="s">
        <v>219</v>
      </c>
      <c r="D876" s="4">
        <v>17.435021094</v>
      </c>
      <c r="E876" s="3">
        <v>55.52</v>
      </c>
      <c r="F876" s="3">
        <v>967.99</v>
      </c>
      <c r="G876" s="3">
        <v>56.7</v>
      </c>
      <c r="H876" s="3">
        <v>-20.58</v>
      </c>
      <c r="I876" s="3">
        <v>988.58</v>
      </c>
    </row>
    <row r="877" spans="1:9" ht="15" customHeight="1" x14ac:dyDescent="0.25">
      <c r="A877" s="2" t="s">
        <v>92</v>
      </c>
      <c r="B877" s="2" t="s">
        <v>173</v>
      </c>
      <c r="C877" s="2" t="s">
        <v>174</v>
      </c>
      <c r="D877" s="4">
        <v>3.147079266</v>
      </c>
      <c r="E877" s="3">
        <v>76.05</v>
      </c>
      <c r="F877" s="3">
        <v>239.34</v>
      </c>
      <c r="G877" s="3">
        <v>63.45</v>
      </c>
      <c r="H877" s="3">
        <v>39.659999999999997</v>
      </c>
      <c r="I877" s="3">
        <v>199.68</v>
      </c>
    </row>
    <row r="878" spans="1:9" ht="15" customHeight="1" x14ac:dyDescent="0.25">
      <c r="A878" s="2" t="s">
        <v>92</v>
      </c>
      <c r="B878" s="2" t="s">
        <v>265</v>
      </c>
      <c r="C878" s="2" t="s">
        <v>266</v>
      </c>
      <c r="D878" s="4">
        <v>0.961171463</v>
      </c>
      <c r="E878" s="3">
        <v>370.17</v>
      </c>
      <c r="F878" s="3">
        <v>355.8</v>
      </c>
      <c r="G878" s="3">
        <v>405.11</v>
      </c>
      <c r="H878" s="3">
        <v>-33.58</v>
      </c>
      <c r="I878" s="3">
        <v>389.38</v>
      </c>
    </row>
    <row r="879" spans="1:9" ht="15" customHeight="1" x14ac:dyDescent="0.25">
      <c r="A879" s="2" t="s">
        <v>92</v>
      </c>
      <c r="B879" s="2" t="s">
        <v>179</v>
      </c>
      <c r="C879" s="2" t="s">
        <v>180</v>
      </c>
      <c r="D879" s="4">
        <v>40</v>
      </c>
      <c r="E879" s="3">
        <v>16.97</v>
      </c>
      <c r="F879" s="3">
        <v>678.81</v>
      </c>
      <c r="G879" s="3">
        <v>24.26</v>
      </c>
      <c r="H879" s="3">
        <v>-291.55</v>
      </c>
      <c r="I879" s="3">
        <v>970.36</v>
      </c>
    </row>
    <row r="880" spans="1:9" ht="15" customHeight="1" x14ac:dyDescent="0.25">
      <c r="A880" s="2" t="s">
        <v>92</v>
      </c>
      <c r="B880" s="2" t="s">
        <v>152</v>
      </c>
      <c r="C880" s="2" t="s">
        <v>230</v>
      </c>
      <c r="D880" s="4">
        <v>11.85548324</v>
      </c>
      <c r="E880" s="3">
        <v>21.29</v>
      </c>
      <c r="F880" s="3">
        <v>252.4</v>
      </c>
      <c r="G880" s="3">
        <v>100.53</v>
      </c>
      <c r="H880" s="3">
        <v>-939.44</v>
      </c>
      <c r="I880" s="3">
        <v>1191.8499999999999</v>
      </c>
    </row>
    <row r="881" spans="1:9" ht="15" customHeight="1" x14ac:dyDescent="0.25">
      <c r="A881" s="2" t="s">
        <v>92</v>
      </c>
      <c r="B881" s="2" t="s">
        <v>113</v>
      </c>
      <c r="C881" s="2" t="s">
        <v>114</v>
      </c>
      <c r="D881" s="4">
        <v>2.9389128389999999</v>
      </c>
      <c r="E881" s="3">
        <v>84.89</v>
      </c>
      <c r="F881" s="3">
        <v>249.48</v>
      </c>
      <c r="G881" s="3">
        <v>69.989999999999995</v>
      </c>
      <c r="H881" s="3">
        <v>43.8</v>
      </c>
      <c r="I881" s="3">
        <v>205.68</v>
      </c>
    </row>
    <row r="882" spans="1:9" ht="15" customHeight="1" x14ac:dyDescent="0.25">
      <c r="A882" s="2" t="s">
        <v>92</v>
      </c>
      <c r="B882" s="2" t="s">
        <v>252</v>
      </c>
      <c r="C882" s="2" t="s">
        <v>267</v>
      </c>
      <c r="D882" s="4">
        <v>1.133412042</v>
      </c>
      <c r="E882" s="3">
        <v>96.15</v>
      </c>
      <c r="F882" s="3">
        <v>108.98</v>
      </c>
      <c r="G882" s="3">
        <v>88.09</v>
      </c>
      <c r="H882" s="3">
        <v>9.14</v>
      </c>
      <c r="I882" s="3">
        <v>99.84</v>
      </c>
    </row>
    <row r="883" spans="1:9" ht="15" customHeight="1" x14ac:dyDescent="0.25">
      <c r="A883" s="2" t="s">
        <v>92</v>
      </c>
      <c r="B883" s="2" t="s">
        <v>254</v>
      </c>
      <c r="C883" s="2" t="s">
        <v>255</v>
      </c>
      <c r="D883" s="4">
        <v>2.4299728900000002</v>
      </c>
      <c r="E883" s="3">
        <v>38.01</v>
      </c>
      <c r="F883" s="3">
        <v>92.36</v>
      </c>
      <c r="G883" s="3">
        <v>53.41</v>
      </c>
      <c r="H883" s="3">
        <v>-37.43</v>
      </c>
      <c r="I883" s="3">
        <v>129.79</v>
      </c>
    </row>
    <row r="884" spans="1:9" ht="15" customHeight="1" x14ac:dyDescent="0.25">
      <c r="A884" s="2" t="s">
        <v>92</v>
      </c>
      <c r="B884" s="2" t="s">
        <v>145</v>
      </c>
      <c r="C884" s="2" t="s">
        <v>231</v>
      </c>
      <c r="D884" s="4">
        <v>53.212463429000003</v>
      </c>
      <c r="E884" s="3">
        <v>12.98</v>
      </c>
      <c r="F884" s="3">
        <v>690.7</v>
      </c>
      <c r="G884" s="3">
        <v>21.44</v>
      </c>
      <c r="H884" s="3">
        <v>-450.27</v>
      </c>
      <c r="I884" s="3">
        <v>1140.97</v>
      </c>
    </row>
    <row r="885" spans="1:9" ht="15" customHeight="1" x14ac:dyDescent="0.25">
      <c r="A885" s="2" t="s">
        <v>92</v>
      </c>
      <c r="B885" s="2" t="s">
        <v>154</v>
      </c>
      <c r="C885" s="2" t="s">
        <v>155</v>
      </c>
      <c r="D885" s="4">
        <v>9.7415798949999992</v>
      </c>
      <c r="E885" s="3">
        <v>61.18</v>
      </c>
      <c r="F885" s="3">
        <v>595.99</v>
      </c>
      <c r="G885" s="3">
        <v>60.77</v>
      </c>
      <c r="H885" s="3">
        <v>3.95</v>
      </c>
      <c r="I885" s="3">
        <v>592.04</v>
      </c>
    </row>
    <row r="886" spans="1:9" ht="15" customHeight="1" x14ac:dyDescent="0.25">
      <c r="A886" s="2" t="s">
        <v>92</v>
      </c>
      <c r="B886" s="2" t="s">
        <v>256</v>
      </c>
      <c r="C886" s="2" t="s">
        <v>268</v>
      </c>
      <c r="D886" s="4">
        <v>20.081432613</v>
      </c>
      <c r="E886" s="3">
        <v>9.0399999999999991</v>
      </c>
      <c r="F886" s="3">
        <v>181.54</v>
      </c>
      <c r="G886" s="3">
        <v>14.92</v>
      </c>
      <c r="H886" s="3">
        <v>-117.99</v>
      </c>
      <c r="I886" s="3">
        <v>299.52</v>
      </c>
    </row>
    <row r="887" spans="1:9" ht="15" customHeight="1" x14ac:dyDescent="0.25">
      <c r="A887" s="2" t="s">
        <v>92</v>
      </c>
      <c r="B887" s="2" t="s">
        <v>244</v>
      </c>
      <c r="C887" s="2" t="s">
        <v>245</v>
      </c>
      <c r="D887" s="4">
        <v>5.7262678359999999</v>
      </c>
      <c r="E887" s="3">
        <v>20.36</v>
      </c>
      <c r="F887" s="3">
        <v>116.59</v>
      </c>
      <c r="G887" s="3">
        <v>21.62</v>
      </c>
      <c r="H887" s="3">
        <v>-7.22</v>
      </c>
      <c r="I887" s="3">
        <v>123.8</v>
      </c>
    </row>
    <row r="888" spans="1:9" ht="15" customHeight="1" x14ac:dyDescent="0.25">
      <c r="A888" s="2" t="s">
        <v>92</v>
      </c>
      <c r="B888" s="2" t="s">
        <v>129</v>
      </c>
      <c r="C888" s="2" t="s">
        <v>130</v>
      </c>
      <c r="D888" s="4">
        <v>67</v>
      </c>
      <c r="E888" s="3">
        <v>48.71</v>
      </c>
      <c r="F888" s="3">
        <v>3263.3</v>
      </c>
      <c r="G888" s="3">
        <v>50.06</v>
      </c>
      <c r="H888" s="3">
        <v>-90.41</v>
      </c>
      <c r="I888" s="3">
        <v>3353.71</v>
      </c>
    </row>
    <row r="889" spans="1:9" ht="15" customHeight="1" x14ac:dyDescent="0.25">
      <c r="A889" s="2" t="s">
        <v>92</v>
      </c>
      <c r="B889" s="2" t="s">
        <v>175</v>
      </c>
      <c r="C889" s="2" t="s">
        <v>176</v>
      </c>
      <c r="D889" s="4">
        <v>5.5020446810000001</v>
      </c>
      <c r="E889" s="3">
        <v>146.28</v>
      </c>
      <c r="F889" s="3">
        <v>804.84</v>
      </c>
      <c r="G889" s="3">
        <v>102.34</v>
      </c>
      <c r="H889" s="3">
        <v>241.74</v>
      </c>
      <c r="I889" s="3">
        <v>563.1</v>
      </c>
    </row>
    <row r="890" spans="1:9" ht="15" customHeight="1" x14ac:dyDescent="0.25">
      <c r="A890" s="2" t="s">
        <v>92</v>
      </c>
      <c r="B890" s="2" t="s">
        <v>194</v>
      </c>
      <c r="C890" s="2" t="s">
        <v>232</v>
      </c>
      <c r="D890" s="4">
        <v>14</v>
      </c>
      <c r="E890" s="3">
        <v>38.6</v>
      </c>
      <c r="F890" s="3">
        <v>540.4</v>
      </c>
      <c r="G890" s="3">
        <v>65.540000000000006</v>
      </c>
      <c r="H890" s="3">
        <v>-377.13</v>
      </c>
      <c r="I890" s="3">
        <v>917.53</v>
      </c>
    </row>
    <row r="891" spans="1:9" ht="15" customHeight="1" x14ac:dyDescent="0.25">
      <c r="A891" s="2" t="s">
        <v>92</v>
      </c>
      <c r="B891" s="2" t="s">
        <v>233</v>
      </c>
      <c r="C891" s="2" t="s">
        <v>234</v>
      </c>
      <c r="D891" s="4">
        <v>4.2653438039999996</v>
      </c>
      <c r="E891" s="3">
        <v>64.22</v>
      </c>
      <c r="F891" s="3">
        <v>273.92</v>
      </c>
      <c r="G891" s="3">
        <v>46.2</v>
      </c>
      <c r="H891" s="3">
        <v>76.88</v>
      </c>
      <c r="I891" s="3">
        <v>197.04</v>
      </c>
    </row>
    <row r="892" spans="1:9" ht="15" customHeight="1" x14ac:dyDescent="0.25">
      <c r="A892" s="2" t="s">
        <v>92</v>
      </c>
      <c r="B892" s="2" t="s">
        <v>213</v>
      </c>
      <c r="C892" s="2" t="s">
        <v>214</v>
      </c>
      <c r="D892" s="4">
        <v>20.831268046000002</v>
      </c>
      <c r="E892" s="3">
        <v>30.68</v>
      </c>
      <c r="F892" s="3">
        <v>639.1</v>
      </c>
      <c r="G892" s="3">
        <v>28</v>
      </c>
      <c r="H892" s="3">
        <v>55.9</v>
      </c>
      <c r="I892" s="3">
        <v>583.20000000000005</v>
      </c>
    </row>
    <row r="893" spans="1:9" ht="15" customHeight="1" x14ac:dyDescent="0.25">
      <c r="A893" s="2" t="s">
        <v>92</v>
      </c>
      <c r="B893" s="2" t="s">
        <v>247</v>
      </c>
      <c r="C893" s="2" t="s">
        <v>248</v>
      </c>
      <c r="D893" s="4">
        <v>15.40127006</v>
      </c>
      <c r="E893" s="3">
        <v>29.13</v>
      </c>
      <c r="F893" s="3">
        <v>448.64</v>
      </c>
      <c r="G893" s="3">
        <v>32.46</v>
      </c>
      <c r="H893" s="3">
        <v>-51.36</v>
      </c>
      <c r="I893" s="3">
        <v>500</v>
      </c>
    </row>
    <row r="894" spans="1:9" ht="15" customHeight="1" x14ac:dyDescent="0.25">
      <c r="A894" s="2" t="s">
        <v>92</v>
      </c>
      <c r="B894" s="2" t="s">
        <v>196</v>
      </c>
      <c r="C894" s="2" t="s">
        <v>197</v>
      </c>
      <c r="D894" s="4">
        <v>36.151224583000001</v>
      </c>
      <c r="E894" s="3">
        <v>25.26</v>
      </c>
      <c r="F894" s="3">
        <v>913.18</v>
      </c>
      <c r="G894" s="3">
        <v>23.54</v>
      </c>
      <c r="H894" s="3">
        <v>62.25</v>
      </c>
      <c r="I894" s="3">
        <v>850.93</v>
      </c>
    </row>
    <row r="895" spans="1:9" ht="15" customHeight="1" x14ac:dyDescent="0.25">
      <c r="A895" s="2" t="s">
        <v>92</v>
      </c>
      <c r="B895" s="2" t="s">
        <v>119</v>
      </c>
      <c r="C895" s="2" t="s">
        <v>120</v>
      </c>
      <c r="D895" s="4">
        <v>47.711521122999997</v>
      </c>
      <c r="E895" s="3">
        <v>100.66</v>
      </c>
      <c r="F895" s="3">
        <v>4802.6400000000003</v>
      </c>
      <c r="G895" s="3">
        <v>100.32</v>
      </c>
      <c r="H895" s="3">
        <v>16.41</v>
      </c>
      <c r="I895" s="3">
        <v>4786.2299999999996</v>
      </c>
    </row>
    <row r="896" spans="1:9" ht="15" customHeight="1" x14ac:dyDescent="0.25">
      <c r="A896" s="2" t="s">
        <v>92</v>
      </c>
      <c r="B896" s="2" t="s">
        <v>115</v>
      </c>
      <c r="C896" s="2" t="s">
        <v>249</v>
      </c>
      <c r="D896" s="4">
        <v>60.162851254000003</v>
      </c>
      <c r="E896" s="3">
        <v>110.39</v>
      </c>
      <c r="F896" s="3">
        <v>6641.38</v>
      </c>
      <c r="G896" s="3">
        <v>110.08</v>
      </c>
      <c r="H896" s="3">
        <v>18.899999999999999</v>
      </c>
      <c r="I896" s="3">
        <v>6622.48</v>
      </c>
    </row>
    <row r="897" spans="1:9" ht="15" customHeight="1" x14ac:dyDescent="0.25">
      <c r="A897" s="2" t="s">
        <v>92</v>
      </c>
      <c r="B897" s="2" t="s">
        <v>181</v>
      </c>
      <c r="C897" s="2" t="s">
        <v>182</v>
      </c>
      <c r="D897" s="4">
        <v>9.5861616040000008</v>
      </c>
      <c r="E897" s="3">
        <v>23.08</v>
      </c>
      <c r="F897" s="3">
        <v>221.25</v>
      </c>
      <c r="G897" s="3">
        <v>26.04</v>
      </c>
      <c r="H897" s="3">
        <v>-28.35</v>
      </c>
      <c r="I897" s="3">
        <v>249.6</v>
      </c>
    </row>
    <row r="898" spans="1:9" ht="15" customHeight="1" x14ac:dyDescent="0.25">
      <c r="A898" s="2" t="s">
        <v>92</v>
      </c>
      <c r="B898" s="2" t="s">
        <v>162</v>
      </c>
      <c r="C898" s="2" t="s">
        <v>246</v>
      </c>
      <c r="D898" s="4">
        <v>60.665262716000001</v>
      </c>
      <c r="E898" s="3">
        <v>24.98</v>
      </c>
      <c r="F898" s="3">
        <v>1515.42</v>
      </c>
      <c r="G898" s="3">
        <v>25.26</v>
      </c>
      <c r="H898" s="3">
        <v>-17.09</v>
      </c>
      <c r="I898" s="3">
        <v>1532.51</v>
      </c>
    </row>
    <row r="899" spans="1:9" ht="15" customHeight="1" x14ac:dyDescent="0.25">
      <c r="A899" s="2" t="s">
        <v>92</v>
      </c>
      <c r="B899" s="2" t="s">
        <v>222</v>
      </c>
      <c r="C899" s="2" t="s">
        <v>223</v>
      </c>
      <c r="D899" s="4">
        <v>13.370193596</v>
      </c>
      <c r="E899" s="3">
        <v>3</v>
      </c>
      <c r="F899" s="3">
        <v>40.11</v>
      </c>
      <c r="G899" s="3">
        <v>3.73</v>
      </c>
      <c r="H899" s="3">
        <v>-9.75</v>
      </c>
      <c r="I899" s="3">
        <v>49.86</v>
      </c>
    </row>
    <row r="900" spans="1:9" ht="15" customHeight="1" x14ac:dyDescent="0.25">
      <c r="A900" s="2" t="s">
        <v>92</v>
      </c>
      <c r="B900" s="2" t="s">
        <v>270</v>
      </c>
      <c r="C900" s="2" t="s">
        <v>271</v>
      </c>
      <c r="D900" s="4">
        <v>1</v>
      </c>
      <c r="E900" s="3">
        <v>0.8</v>
      </c>
      <c r="F900" s="3">
        <v>80</v>
      </c>
      <c r="G900" s="3">
        <v>207</v>
      </c>
      <c r="H900" s="3">
        <v>-127</v>
      </c>
      <c r="I900" s="3">
        <v>207</v>
      </c>
    </row>
    <row r="901" spans="1:9" ht="15" customHeight="1" x14ac:dyDescent="0.25">
      <c r="A901" s="2" t="s">
        <v>92</v>
      </c>
      <c r="B901" s="2" t="s">
        <v>177</v>
      </c>
      <c r="C901" s="2" t="s">
        <v>269</v>
      </c>
      <c r="D901" s="4">
        <v>1.061371047</v>
      </c>
      <c r="E901" s="3">
        <v>337.95</v>
      </c>
      <c r="F901" s="3">
        <v>358.69</v>
      </c>
      <c r="G901" s="3">
        <v>209.15</v>
      </c>
      <c r="H901" s="3">
        <v>136.69999999999999</v>
      </c>
      <c r="I901" s="3">
        <v>221.99</v>
      </c>
    </row>
    <row r="902" spans="1:9" ht="15" customHeight="1" x14ac:dyDescent="0.25">
      <c r="A902" s="2" t="s">
        <v>92</v>
      </c>
      <c r="B902" s="2" t="s">
        <v>190</v>
      </c>
      <c r="C902" s="2" t="s">
        <v>191</v>
      </c>
      <c r="D902" s="4">
        <v>27</v>
      </c>
      <c r="E902" s="3">
        <v>25.88</v>
      </c>
      <c r="F902" s="3">
        <v>698.76</v>
      </c>
      <c r="G902" s="3">
        <v>24.98</v>
      </c>
      <c r="H902" s="3">
        <v>24.28</v>
      </c>
      <c r="I902" s="3">
        <v>674.48</v>
      </c>
    </row>
    <row r="903" spans="1:9" ht="15" customHeight="1" x14ac:dyDescent="0.25">
      <c r="A903" s="2" t="s">
        <v>92</v>
      </c>
      <c r="B903" s="2" t="s">
        <v>258</v>
      </c>
      <c r="C903" s="2" t="s">
        <v>259</v>
      </c>
      <c r="D903" s="4">
        <v>0.448675096</v>
      </c>
      <c r="E903" s="3">
        <v>302.24</v>
      </c>
      <c r="F903" s="3">
        <v>135.61000000000001</v>
      </c>
      <c r="G903" s="3">
        <v>356.03</v>
      </c>
      <c r="H903" s="3">
        <v>-24.13</v>
      </c>
      <c r="I903" s="3">
        <v>159.74</v>
      </c>
    </row>
    <row r="904" spans="1:9" ht="15" customHeight="1" x14ac:dyDescent="0.25">
      <c r="A904" s="2" t="s">
        <v>92</v>
      </c>
      <c r="B904" s="2" t="s">
        <v>260</v>
      </c>
      <c r="C904" s="2" t="s">
        <v>261</v>
      </c>
      <c r="D904" s="4">
        <v>8.1980030540000008</v>
      </c>
      <c r="E904" s="3">
        <v>12.28</v>
      </c>
      <c r="F904" s="3">
        <v>100.67</v>
      </c>
      <c r="G904" s="3">
        <v>12.18</v>
      </c>
      <c r="H904" s="3">
        <v>0.83</v>
      </c>
      <c r="I904" s="3">
        <v>99.84</v>
      </c>
    </row>
    <row r="905" spans="1:9" ht="15" customHeight="1" x14ac:dyDescent="0.25">
      <c r="A905" s="2" t="s">
        <v>92</v>
      </c>
      <c r="B905" s="2" t="s">
        <v>136</v>
      </c>
      <c r="C905" s="2" t="s">
        <v>151</v>
      </c>
      <c r="D905" s="4">
        <v>60.834660069000002</v>
      </c>
      <c r="E905" s="3">
        <v>25.04</v>
      </c>
      <c r="F905" s="3">
        <v>1523</v>
      </c>
      <c r="G905" s="3">
        <v>25.08</v>
      </c>
      <c r="H905" s="3">
        <v>-2.66</v>
      </c>
      <c r="I905" s="3">
        <v>1525.66</v>
      </c>
    </row>
    <row r="906" spans="1:9" ht="15" customHeight="1" x14ac:dyDescent="0.25">
      <c r="A906" s="2" t="s">
        <v>92</v>
      </c>
      <c r="B906" s="2" t="s">
        <v>164</v>
      </c>
      <c r="C906" s="2" t="s">
        <v>237</v>
      </c>
      <c r="D906" s="4">
        <v>32.707712825999998</v>
      </c>
      <c r="E906" s="3">
        <v>7.83</v>
      </c>
      <c r="F906" s="3">
        <v>256.10000000000002</v>
      </c>
      <c r="G906" s="3">
        <v>17.149999999999999</v>
      </c>
      <c r="H906" s="3">
        <v>-304.7</v>
      </c>
      <c r="I906" s="3">
        <v>560.79999999999995</v>
      </c>
    </row>
    <row r="907" spans="1:9" ht="15" customHeight="1" x14ac:dyDescent="0.25">
      <c r="A907" s="2" t="s">
        <v>94</v>
      </c>
      <c r="B907" s="2" t="s">
        <v>104</v>
      </c>
      <c r="C907" s="2" t="s">
        <v>105</v>
      </c>
      <c r="D907" s="4" t="s">
        <v>106</v>
      </c>
      <c r="E907" s="3"/>
      <c r="F907" s="3">
        <v>1641.03</v>
      </c>
      <c r="G907" s="3"/>
      <c r="H907" s="3"/>
      <c r="I907" s="3"/>
    </row>
    <row r="908" spans="1:9" ht="15" customHeight="1" x14ac:dyDescent="0.25">
      <c r="A908" s="2" t="s">
        <v>94</v>
      </c>
      <c r="B908" s="2" t="s">
        <v>192</v>
      </c>
      <c r="C908" s="2" t="s">
        <v>193</v>
      </c>
      <c r="D908" s="4">
        <v>7.7351955419999996</v>
      </c>
      <c r="E908" s="3">
        <v>55.88</v>
      </c>
      <c r="F908" s="3">
        <v>432.24</v>
      </c>
      <c r="G908" s="3">
        <v>47.35</v>
      </c>
      <c r="H908" s="3">
        <v>65.95</v>
      </c>
      <c r="I908" s="3">
        <v>366.3</v>
      </c>
    </row>
    <row r="909" spans="1:9" ht="15" customHeight="1" x14ac:dyDescent="0.25">
      <c r="A909" s="2" t="s">
        <v>94</v>
      </c>
      <c r="B909" s="2" t="s">
        <v>215</v>
      </c>
      <c r="C909" s="2" t="s">
        <v>180</v>
      </c>
      <c r="D909" s="4">
        <v>26</v>
      </c>
      <c r="E909" s="3">
        <v>29.83</v>
      </c>
      <c r="F909" s="3">
        <v>775.58</v>
      </c>
      <c r="G909" s="3">
        <v>29.11</v>
      </c>
      <c r="H909" s="3">
        <v>18.79</v>
      </c>
      <c r="I909" s="3">
        <v>756.79</v>
      </c>
    </row>
    <row r="910" spans="1:9" ht="15" customHeight="1" x14ac:dyDescent="0.25">
      <c r="A910" s="2" t="s">
        <v>94</v>
      </c>
      <c r="B910" s="2" t="s">
        <v>111</v>
      </c>
      <c r="C910" s="2" t="s">
        <v>131</v>
      </c>
      <c r="D910" s="4">
        <v>1.658571494</v>
      </c>
      <c r="E910" s="3">
        <v>210.32</v>
      </c>
      <c r="F910" s="3">
        <v>348.83</v>
      </c>
      <c r="G910" s="3">
        <v>120.02</v>
      </c>
      <c r="H910" s="3">
        <v>149.76</v>
      </c>
      <c r="I910" s="3">
        <v>199.07</v>
      </c>
    </row>
    <row r="911" spans="1:9" ht="15" customHeight="1" x14ac:dyDescent="0.25">
      <c r="A911" s="2" t="s">
        <v>94</v>
      </c>
      <c r="B911" s="2" t="s">
        <v>272</v>
      </c>
      <c r="C911" s="2" t="s">
        <v>273</v>
      </c>
      <c r="D911" s="4">
        <v>0.18798826599999999</v>
      </c>
      <c r="E911" s="3">
        <v>1065.5999999999999</v>
      </c>
      <c r="F911" s="3">
        <v>200.32</v>
      </c>
      <c r="G911" s="3">
        <v>996.13</v>
      </c>
      <c r="H911" s="3">
        <v>13.06</v>
      </c>
      <c r="I911" s="3">
        <v>187.26</v>
      </c>
    </row>
    <row r="912" spans="1:9" ht="15" customHeight="1" x14ac:dyDescent="0.25">
      <c r="A912" s="2" t="s">
        <v>94</v>
      </c>
      <c r="B912" s="2" t="s">
        <v>183</v>
      </c>
      <c r="C912" s="2" t="s">
        <v>184</v>
      </c>
      <c r="D912" s="4">
        <v>32.181922126000003</v>
      </c>
      <c r="E912" s="3">
        <v>26.41</v>
      </c>
      <c r="F912" s="3">
        <v>849.76</v>
      </c>
      <c r="G912" s="3">
        <v>26.5</v>
      </c>
      <c r="H912" s="3">
        <v>-3.11</v>
      </c>
      <c r="I912" s="3">
        <v>852.88</v>
      </c>
    </row>
    <row r="913" spans="1:9" ht="15" customHeight="1" x14ac:dyDescent="0.25">
      <c r="A913" s="2" t="s">
        <v>94</v>
      </c>
      <c r="B913" s="2" t="s">
        <v>225</v>
      </c>
      <c r="C913" s="2" t="s">
        <v>226</v>
      </c>
      <c r="D913" s="4">
        <v>12.329661722000001</v>
      </c>
      <c r="E913" s="3">
        <v>35.01</v>
      </c>
      <c r="F913" s="3">
        <v>431.66</v>
      </c>
      <c r="G913" s="3">
        <v>31.11</v>
      </c>
      <c r="H913" s="3">
        <v>48.13</v>
      </c>
      <c r="I913" s="3">
        <v>383.53</v>
      </c>
    </row>
    <row r="914" spans="1:9" ht="15" customHeight="1" x14ac:dyDescent="0.25">
      <c r="A914" s="2" t="s">
        <v>94</v>
      </c>
      <c r="B914" s="2" t="s">
        <v>166</v>
      </c>
      <c r="C914" s="2" t="s">
        <v>167</v>
      </c>
      <c r="D914" s="4">
        <v>21.762611200999999</v>
      </c>
      <c r="E914" s="3">
        <v>51.04</v>
      </c>
      <c r="F914" s="3">
        <v>1110.76</v>
      </c>
      <c r="G914" s="3">
        <v>50.86</v>
      </c>
      <c r="H914" s="3">
        <v>3.86</v>
      </c>
      <c r="I914" s="3">
        <v>1106.9100000000001</v>
      </c>
    </row>
    <row r="915" spans="1:9" ht="15" customHeight="1" x14ac:dyDescent="0.25">
      <c r="A915" s="2" t="s">
        <v>94</v>
      </c>
      <c r="B915" s="2" t="s">
        <v>170</v>
      </c>
      <c r="C915" s="2" t="s">
        <v>228</v>
      </c>
      <c r="D915" s="4">
        <v>17.574664577</v>
      </c>
      <c r="E915" s="3">
        <v>46.6</v>
      </c>
      <c r="F915" s="3">
        <v>818.98</v>
      </c>
      <c r="G915" s="3">
        <v>47.21</v>
      </c>
      <c r="H915" s="3">
        <v>-10.8</v>
      </c>
      <c r="I915" s="3">
        <v>829.78</v>
      </c>
    </row>
    <row r="916" spans="1:9" ht="15" customHeight="1" x14ac:dyDescent="0.25">
      <c r="A916" s="2" t="s">
        <v>94</v>
      </c>
      <c r="B916" s="2" t="s">
        <v>127</v>
      </c>
      <c r="C916" s="2" t="s">
        <v>128</v>
      </c>
      <c r="D916" s="4">
        <v>138.247581309</v>
      </c>
      <c r="E916" s="3">
        <v>25.53</v>
      </c>
      <c r="F916" s="3">
        <v>3529.46</v>
      </c>
      <c r="G916" s="3">
        <v>25.41</v>
      </c>
      <c r="H916" s="3">
        <v>17.010000000000002</v>
      </c>
      <c r="I916" s="3">
        <v>3512.45</v>
      </c>
    </row>
    <row r="917" spans="1:9" ht="15" customHeight="1" x14ac:dyDescent="0.25">
      <c r="A917" s="2" t="s">
        <v>94</v>
      </c>
      <c r="B917" s="2" t="s">
        <v>132</v>
      </c>
      <c r="C917" s="2" t="s">
        <v>229</v>
      </c>
      <c r="D917" s="4">
        <v>86.718187771000004</v>
      </c>
      <c r="E917" s="3">
        <v>15.45</v>
      </c>
      <c r="F917" s="3">
        <v>1339.8</v>
      </c>
      <c r="G917" s="3">
        <v>15.02</v>
      </c>
      <c r="H917" s="3">
        <v>36.89</v>
      </c>
      <c r="I917" s="3">
        <v>1302.9000000000001</v>
      </c>
    </row>
    <row r="918" spans="1:9" ht="15" customHeight="1" x14ac:dyDescent="0.25">
      <c r="A918" s="2" t="s">
        <v>94</v>
      </c>
      <c r="B918" s="2" t="s">
        <v>274</v>
      </c>
      <c r="C918" s="2" t="s">
        <v>275</v>
      </c>
      <c r="D918" s="4">
        <v>6.9032092540000001</v>
      </c>
      <c r="E918" s="3">
        <v>27.47</v>
      </c>
      <c r="F918" s="3">
        <v>189.63</v>
      </c>
      <c r="G918" s="3">
        <v>27.48</v>
      </c>
      <c r="H918" s="3">
        <v>-7.0000000000000007E-2</v>
      </c>
      <c r="I918" s="3">
        <v>189.7</v>
      </c>
    </row>
    <row r="919" spans="1:9" ht="15" customHeight="1" x14ac:dyDescent="0.25">
      <c r="A919" s="2" t="s">
        <v>94</v>
      </c>
      <c r="B919" s="2" t="s">
        <v>134</v>
      </c>
      <c r="C919" s="2" t="s">
        <v>142</v>
      </c>
      <c r="D919" s="4">
        <v>97.146942870000004</v>
      </c>
      <c r="E919" s="3">
        <v>25.56</v>
      </c>
      <c r="F919" s="3">
        <v>2483.08</v>
      </c>
      <c r="G919" s="3">
        <v>25.61</v>
      </c>
      <c r="H919" s="3">
        <v>-4.82</v>
      </c>
      <c r="I919" s="3">
        <v>2487.9</v>
      </c>
    </row>
    <row r="920" spans="1:9" ht="15" customHeight="1" x14ac:dyDescent="0.25">
      <c r="A920" s="2" t="s">
        <v>94</v>
      </c>
      <c r="B920" s="2" t="s">
        <v>276</v>
      </c>
      <c r="C920" s="2" t="s">
        <v>277</v>
      </c>
      <c r="D920" s="4">
        <v>1.611918363</v>
      </c>
      <c r="E920" s="3">
        <v>95.27</v>
      </c>
      <c r="F920" s="3">
        <v>153.57</v>
      </c>
      <c r="G920" s="3">
        <v>96.62</v>
      </c>
      <c r="H920" s="3">
        <v>-2.1800000000000002</v>
      </c>
      <c r="I920" s="3">
        <v>155.75</v>
      </c>
    </row>
    <row r="921" spans="1:9" ht="15" customHeight="1" x14ac:dyDescent="0.25">
      <c r="A921" s="2" t="s">
        <v>94</v>
      </c>
      <c r="B921" s="2" t="s">
        <v>143</v>
      </c>
      <c r="C921" s="2" t="s">
        <v>144</v>
      </c>
      <c r="D921" s="4">
        <v>61.673352379000001</v>
      </c>
      <c r="E921" s="3">
        <v>50.52</v>
      </c>
      <c r="F921" s="3">
        <v>3115.74</v>
      </c>
      <c r="G921" s="3">
        <v>50.66</v>
      </c>
      <c r="H921" s="3">
        <v>-8.7799999999999994</v>
      </c>
      <c r="I921" s="3">
        <v>3124.52</v>
      </c>
    </row>
    <row r="922" spans="1:9" ht="15" customHeight="1" x14ac:dyDescent="0.25">
      <c r="A922" s="2" t="s">
        <v>94</v>
      </c>
      <c r="B922" s="2" t="s">
        <v>218</v>
      </c>
      <c r="C922" s="2" t="s">
        <v>219</v>
      </c>
      <c r="D922" s="4">
        <v>19.048176518999998</v>
      </c>
      <c r="E922" s="3">
        <v>59.27</v>
      </c>
      <c r="F922" s="3">
        <v>1128.99</v>
      </c>
      <c r="G922" s="3">
        <v>56.77</v>
      </c>
      <c r="H922" s="3">
        <v>47.56</v>
      </c>
      <c r="I922" s="3">
        <v>1081.43</v>
      </c>
    </row>
    <row r="923" spans="1:9" ht="15" customHeight="1" x14ac:dyDescent="0.25">
      <c r="A923" s="2" t="s">
        <v>94</v>
      </c>
      <c r="B923" s="2" t="s">
        <v>173</v>
      </c>
      <c r="C923" s="2" t="s">
        <v>174</v>
      </c>
      <c r="D923" s="4">
        <v>3.147079266</v>
      </c>
      <c r="E923" s="3">
        <v>78.760000000000005</v>
      </c>
      <c r="F923" s="3">
        <v>247.86</v>
      </c>
      <c r="G923" s="3">
        <v>63.45</v>
      </c>
      <c r="H923" s="3">
        <v>48.19</v>
      </c>
      <c r="I923" s="3">
        <v>199.68</v>
      </c>
    </row>
    <row r="924" spans="1:9" ht="15" customHeight="1" x14ac:dyDescent="0.25">
      <c r="A924" s="2" t="s">
        <v>94</v>
      </c>
      <c r="B924" s="2" t="s">
        <v>265</v>
      </c>
      <c r="C924" s="2" t="s">
        <v>266</v>
      </c>
      <c r="D924" s="4">
        <v>0.961171463</v>
      </c>
      <c r="E924" s="3">
        <v>407.78</v>
      </c>
      <c r="F924" s="3">
        <v>391.95</v>
      </c>
      <c r="G924" s="3">
        <v>405.11</v>
      </c>
      <c r="H924" s="3">
        <v>2.57</v>
      </c>
      <c r="I924" s="3">
        <v>389.38</v>
      </c>
    </row>
    <row r="925" spans="1:9" ht="15" customHeight="1" x14ac:dyDescent="0.25">
      <c r="A925" s="2" t="s">
        <v>94</v>
      </c>
      <c r="B925" s="2" t="s">
        <v>179</v>
      </c>
      <c r="C925" s="2" t="s">
        <v>180</v>
      </c>
      <c r="D925" s="4">
        <v>40</v>
      </c>
      <c r="E925" s="3">
        <v>18.510000000000002</v>
      </c>
      <c r="F925" s="3">
        <v>740.4</v>
      </c>
      <c r="G925" s="3">
        <v>24.26</v>
      </c>
      <c r="H925" s="3">
        <v>-229.96</v>
      </c>
      <c r="I925" s="3">
        <v>970.36</v>
      </c>
    </row>
    <row r="926" spans="1:9" ht="15" customHeight="1" x14ac:dyDescent="0.25">
      <c r="A926" s="2" t="s">
        <v>94</v>
      </c>
      <c r="B926" s="2" t="s">
        <v>113</v>
      </c>
      <c r="C926" s="2" t="s">
        <v>114</v>
      </c>
      <c r="D926" s="4">
        <v>2.9389128389999999</v>
      </c>
      <c r="E926" s="3">
        <v>91.91</v>
      </c>
      <c r="F926" s="3">
        <v>270.12</v>
      </c>
      <c r="G926" s="3">
        <v>69.989999999999995</v>
      </c>
      <c r="H926" s="3">
        <v>64.44</v>
      </c>
      <c r="I926" s="3">
        <v>205.68</v>
      </c>
    </row>
    <row r="927" spans="1:9" ht="15" customHeight="1" x14ac:dyDescent="0.25">
      <c r="A927" s="2" t="s">
        <v>94</v>
      </c>
      <c r="B927" s="2" t="s">
        <v>252</v>
      </c>
      <c r="C927" s="2" t="s">
        <v>267</v>
      </c>
      <c r="D927" s="4">
        <v>1.133412042</v>
      </c>
      <c r="E927" s="3">
        <v>93.61</v>
      </c>
      <c r="F927" s="3">
        <v>106.1</v>
      </c>
      <c r="G927" s="3">
        <v>88.09</v>
      </c>
      <c r="H927" s="3">
        <v>6.26</v>
      </c>
      <c r="I927" s="3">
        <v>99.84</v>
      </c>
    </row>
    <row r="928" spans="1:9" ht="15" customHeight="1" x14ac:dyDescent="0.25">
      <c r="A928" s="2" t="s">
        <v>94</v>
      </c>
      <c r="B928" s="2" t="s">
        <v>145</v>
      </c>
      <c r="C928" s="2" t="s">
        <v>231</v>
      </c>
      <c r="D928" s="4">
        <v>63.344765488</v>
      </c>
      <c r="E928" s="3">
        <v>13.46</v>
      </c>
      <c r="F928" s="3">
        <v>852.62</v>
      </c>
      <c r="G928" s="3">
        <v>20.12</v>
      </c>
      <c r="H928" s="3">
        <v>-422.12</v>
      </c>
      <c r="I928" s="3">
        <v>1274.74</v>
      </c>
    </row>
    <row r="929" spans="1:9" ht="15" customHeight="1" x14ac:dyDescent="0.25">
      <c r="A929" s="2" t="s">
        <v>94</v>
      </c>
      <c r="B929" s="2" t="s">
        <v>154</v>
      </c>
      <c r="C929" s="2" t="s">
        <v>155</v>
      </c>
      <c r="D929" s="4">
        <v>11.201990728</v>
      </c>
      <c r="E929" s="3">
        <v>64.239999999999995</v>
      </c>
      <c r="F929" s="3">
        <v>719.62</v>
      </c>
      <c r="G929" s="3">
        <v>61.14</v>
      </c>
      <c r="H929" s="3">
        <v>34.729999999999997</v>
      </c>
      <c r="I929" s="3">
        <v>684.89</v>
      </c>
    </row>
    <row r="930" spans="1:9" ht="15" customHeight="1" x14ac:dyDescent="0.25">
      <c r="A930" s="2" t="s">
        <v>94</v>
      </c>
      <c r="B930" s="2" t="s">
        <v>256</v>
      </c>
      <c r="C930" s="2" t="s">
        <v>268</v>
      </c>
      <c r="D930" s="4">
        <v>20.081432613</v>
      </c>
      <c r="E930" s="3">
        <v>10.039999999999999</v>
      </c>
      <c r="F930" s="3">
        <v>201.62</v>
      </c>
      <c r="G930" s="3">
        <v>14.92</v>
      </c>
      <c r="H930" s="3">
        <v>-97.91</v>
      </c>
      <c r="I930" s="3">
        <v>299.52</v>
      </c>
    </row>
    <row r="931" spans="1:9" ht="15" customHeight="1" x14ac:dyDescent="0.25">
      <c r="A931" s="2" t="s">
        <v>94</v>
      </c>
      <c r="B931" s="2" t="s">
        <v>278</v>
      </c>
      <c r="C931" s="2" t="s">
        <v>279</v>
      </c>
      <c r="D931" s="4">
        <v>6.8903956900000001</v>
      </c>
      <c r="E931" s="3">
        <v>26.7</v>
      </c>
      <c r="F931" s="3">
        <v>183.97</v>
      </c>
      <c r="G931" s="3">
        <v>26.92</v>
      </c>
      <c r="H931" s="3">
        <v>-1.48</v>
      </c>
      <c r="I931" s="3">
        <v>185.45</v>
      </c>
    </row>
    <row r="932" spans="1:9" ht="15" customHeight="1" x14ac:dyDescent="0.25">
      <c r="A932" s="2" t="s">
        <v>94</v>
      </c>
      <c r="B932" s="2" t="s">
        <v>244</v>
      </c>
      <c r="C932" s="2" t="s">
        <v>245</v>
      </c>
      <c r="D932" s="4">
        <v>13.097682894</v>
      </c>
      <c r="E932" s="3">
        <v>21.49</v>
      </c>
      <c r="F932" s="3">
        <v>281.47000000000003</v>
      </c>
      <c r="G932" s="3">
        <v>21.13</v>
      </c>
      <c r="H932" s="3">
        <v>4.76</v>
      </c>
      <c r="I932" s="3">
        <v>276.70999999999998</v>
      </c>
    </row>
    <row r="933" spans="1:9" ht="15" customHeight="1" x14ac:dyDescent="0.25">
      <c r="A933" s="2" t="s">
        <v>94</v>
      </c>
      <c r="B933" s="2" t="s">
        <v>129</v>
      </c>
      <c r="C933" s="2" t="s">
        <v>130</v>
      </c>
      <c r="D933" s="4">
        <v>68</v>
      </c>
      <c r="E933" s="3">
        <v>49.26</v>
      </c>
      <c r="F933" s="3">
        <v>3349.68</v>
      </c>
      <c r="G933" s="3">
        <v>50.04</v>
      </c>
      <c r="H933" s="3">
        <v>-53.08</v>
      </c>
      <c r="I933" s="3">
        <v>3402.76</v>
      </c>
    </row>
    <row r="934" spans="1:9" ht="15" customHeight="1" x14ac:dyDescent="0.25">
      <c r="A934" s="2" t="s">
        <v>94</v>
      </c>
      <c r="B934" s="2" t="s">
        <v>175</v>
      </c>
      <c r="C934" s="2" t="s">
        <v>176</v>
      </c>
      <c r="D934" s="4">
        <v>5.5020446810000001</v>
      </c>
      <c r="E934" s="3">
        <v>139.11000000000001</v>
      </c>
      <c r="F934" s="3">
        <v>765.39</v>
      </c>
      <c r="G934" s="3">
        <v>102.34</v>
      </c>
      <c r="H934" s="3">
        <v>202.29</v>
      </c>
      <c r="I934" s="3">
        <v>563.1</v>
      </c>
    </row>
    <row r="935" spans="1:9" ht="15" customHeight="1" x14ac:dyDescent="0.25">
      <c r="A935" s="2" t="s">
        <v>94</v>
      </c>
      <c r="B935" s="2" t="s">
        <v>194</v>
      </c>
      <c r="C935" s="2" t="s">
        <v>232</v>
      </c>
      <c r="D935" s="4">
        <v>14</v>
      </c>
      <c r="E935" s="3">
        <v>34.92</v>
      </c>
      <c r="F935" s="3">
        <v>488.88</v>
      </c>
      <c r="G935" s="3">
        <v>65.540000000000006</v>
      </c>
      <c r="H935" s="3">
        <v>-428.65</v>
      </c>
      <c r="I935" s="3">
        <v>917.53</v>
      </c>
    </row>
    <row r="936" spans="1:9" ht="15" customHeight="1" x14ac:dyDescent="0.25">
      <c r="A936" s="2" t="s">
        <v>94</v>
      </c>
      <c r="B936" s="2" t="s">
        <v>233</v>
      </c>
      <c r="C936" s="2" t="s">
        <v>234</v>
      </c>
      <c r="D936" s="4">
        <v>4.2653438039999996</v>
      </c>
      <c r="E936" s="3">
        <v>82.51</v>
      </c>
      <c r="F936" s="3">
        <v>351.93</v>
      </c>
      <c r="G936" s="3">
        <v>46.2</v>
      </c>
      <c r="H936" s="3">
        <v>154.88999999999999</v>
      </c>
      <c r="I936" s="3">
        <v>197.04</v>
      </c>
    </row>
    <row r="937" spans="1:9" ht="15" customHeight="1" x14ac:dyDescent="0.25">
      <c r="A937" s="2" t="s">
        <v>94</v>
      </c>
      <c r="B937" s="2" t="s">
        <v>213</v>
      </c>
      <c r="C937" s="2" t="s">
        <v>214</v>
      </c>
      <c r="D937" s="4">
        <v>32.181228963999999</v>
      </c>
      <c r="E937" s="3">
        <v>32.07</v>
      </c>
      <c r="F937" s="3">
        <v>1032.05</v>
      </c>
      <c r="G937" s="3">
        <v>28.89</v>
      </c>
      <c r="H937" s="3">
        <v>102.41</v>
      </c>
      <c r="I937" s="3">
        <v>929.64</v>
      </c>
    </row>
    <row r="938" spans="1:9" ht="15" customHeight="1" x14ac:dyDescent="0.25">
      <c r="A938" s="2" t="s">
        <v>94</v>
      </c>
      <c r="B938" s="2" t="s">
        <v>247</v>
      </c>
      <c r="C938" s="2" t="s">
        <v>248</v>
      </c>
      <c r="D938" s="4">
        <v>17.358799501</v>
      </c>
      <c r="E938" s="3">
        <v>32.909999999999997</v>
      </c>
      <c r="F938" s="3">
        <v>571.28</v>
      </c>
      <c r="G938" s="3">
        <v>32.4</v>
      </c>
      <c r="H938" s="3">
        <v>8.7799999999999994</v>
      </c>
      <c r="I938" s="3">
        <v>562.5</v>
      </c>
    </row>
    <row r="939" spans="1:9" ht="15" customHeight="1" x14ac:dyDescent="0.25">
      <c r="A939" s="2" t="s">
        <v>94</v>
      </c>
      <c r="B939" s="2" t="s">
        <v>196</v>
      </c>
      <c r="C939" s="2" t="s">
        <v>197</v>
      </c>
      <c r="D939" s="4">
        <v>39.760447685000003</v>
      </c>
      <c r="E939" s="3">
        <v>26.11</v>
      </c>
      <c r="F939" s="3">
        <v>1038.1500000000001</v>
      </c>
      <c r="G939" s="3">
        <v>23.74</v>
      </c>
      <c r="H939" s="3">
        <v>94.36</v>
      </c>
      <c r="I939" s="3">
        <v>943.78</v>
      </c>
    </row>
    <row r="940" spans="1:9" ht="15" customHeight="1" x14ac:dyDescent="0.25">
      <c r="A940" s="2" t="s">
        <v>94</v>
      </c>
      <c r="B940" s="2" t="s">
        <v>119</v>
      </c>
      <c r="C940" s="2" t="s">
        <v>280</v>
      </c>
      <c r="D940" s="4">
        <v>48.446660129999998</v>
      </c>
      <c r="E940" s="3">
        <v>100.67</v>
      </c>
      <c r="F940" s="3">
        <v>4877.13</v>
      </c>
      <c r="G940" s="3">
        <v>100.32</v>
      </c>
      <c r="H940" s="3">
        <v>17.02</v>
      </c>
      <c r="I940" s="3">
        <v>4860.1099999999997</v>
      </c>
    </row>
    <row r="941" spans="1:9" ht="15" customHeight="1" x14ac:dyDescent="0.25">
      <c r="A941" s="2" t="s">
        <v>94</v>
      </c>
      <c r="B941" s="2" t="s">
        <v>115</v>
      </c>
      <c r="C941" s="2" t="s">
        <v>249</v>
      </c>
      <c r="D941" s="4">
        <v>61.005654970999998</v>
      </c>
      <c r="E941" s="3">
        <v>110.39</v>
      </c>
      <c r="F941" s="3">
        <v>6734.41</v>
      </c>
      <c r="G941" s="3">
        <v>110.08</v>
      </c>
      <c r="H941" s="3">
        <v>19.079999999999998</v>
      </c>
      <c r="I941" s="3">
        <v>6715.33</v>
      </c>
    </row>
    <row r="942" spans="1:9" ht="15" customHeight="1" x14ac:dyDescent="0.25">
      <c r="A942" s="2" t="s">
        <v>94</v>
      </c>
      <c r="B942" s="2" t="s">
        <v>181</v>
      </c>
      <c r="C942" s="2" t="s">
        <v>182</v>
      </c>
      <c r="D942" s="4">
        <v>9.5861616040000008</v>
      </c>
      <c r="E942" s="3">
        <v>26.94</v>
      </c>
      <c r="F942" s="3">
        <v>258.25</v>
      </c>
      <c r="G942" s="3">
        <v>26.04</v>
      </c>
      <c r="H942" s="3">
        <v>8.65</v>
      </c>
      <c r="I942" s="3">
        <v>249.6</v>
      </c>
    </row>
    <row r="943" spans="1:9" ht="15" customHeight="1" x14ac:dyDescent="0.25">
      <c r="A943" s="2" t="s">
        <v>94</v>
      </c>
      <c r="B943" s="2" t="s">
        <v>162</v>
      </c>
      <c r="C943" s="2" t="s">
        <v>246</v>
      </c>
      <c r="D943" s="4">
        <v>62.895580228</v>
      </c>
      <c r="E943" s="3">
        <v>25.21</v>
      </c>
      <c r="F943" s="3">
        <v>1585.6</v>
      </c>
      <c r="G943" s="3">
        <v>25.25</v>
      </c>
      <c r="H943" s="3">
        <v>-2.82</v>
      </c>
      <c r="I943" s="3">
        <v>1588.42</v>
      </c>
    </row>
    <row r="944" spans="1:9" ht="15" customHeight="1" x14ac:dyDescent="0.25">
      <c r="A944" s="2" t="s">
        <v>94</v>
      </c>
      <c r="B944" s="2" t="s">
        <v>281</v>
      </c>
      <c r="C944" s="2" t="s">
        <v>282</v>
      </c>
      <c r="D944" s="4">
        <v>3.766504517</v>
      </c>
      <c r="E944" s="3">
        <v>50.41</v>
      </c>
      <c r="F944" s="3">
        <v>189.87</v>
      </c>
      <c r="G944" s="3">
        <v>50.37</v>
      </c>
      <c r="H944" s="3">
        <v>0.17</v>
      </c>
      <c r="I944" s="3">
        <v>189.7</v>
      </c>
    </row>
    <row r="945" spans="1:9" ht="15" customHeight="1" x14ac:dyDescent="0.25">
      <c r="A945" s="2" t="s">
        <v>94</v>
      </c>
      <c r="B945" s="2" t="s">
        <v>177</v>
      </c>
      <c r="C945" s="2" t="s">
        <v>269</v>
      </c>
      <c r="D945" s="4">
        <v>1.061371047</v>
      </c>
      <c r="E945" s="3">
        <v>396.06</v>
      </c>
      <c r="F945" s="3">
        <v>420.37</v>
      </c>
      <c r="G945" s="3">
        <v>209.15</v>
      </c>
      <c r="H945" s="3">
        <v>198.38</v>
      </c>
      <c r="I945" s="3">
        <v>221.99</v>
      </c>
    </row>
    <row r="946" spans="1:9" ht="15" customHeight="1" x14ac:dyDescent="0.25">
      <c r="A946" s="2" t="s">
        <v>94</v>
      </c>
      <c r="B946" s="2" t="s">
        <v>190</v>
      </c>
      <c r="C946" s="2" t="s">
        <v>191</v>
      </c>
      <c r="D946" s="4">
        <v>34.561106842000001</v>
      </c>
      <c r="E946" s="3">
        <v>27.07</v>
      </c>
      <c r="F946" s="3">
        <v>935.57</v>
      </c>
      <c r="G946" s="3">
        <v>25.29</v>
      </c>
      <c r="H946" s="3">
        <v>61.41</v>
      </c>
      <c r="I946" s="3">
        <v>874.16</v>
      </c>
    </row>
    <row r="947" spans="1:9" ht="15" customHeight="1" x14ac:dyDescent="0.25">
      <c r="A947" s="2" t="s">
        <v>94</v>
      </c>
      <c r="B947" s="2" t="s">
        <v>258</v>
      </c>
      <c r="C947" s="2" t="s">
        <v>259</v>
      </c>
      <c r="D947" s="4">
        <v>0.448675096</v>
      </c>
      <c r="E947" s="3">
        <v>329.84</v>
      </c>
      <c r="F947" s="3">
        <v>147.99</v>
      </c>
      <c r="G947" s="3">
        <v>356.03</v>
      </c>
      <c r="H947" s="3">
        <v>-11.75</v>
      </c>
      <c r="I947" s="3">
        <v>159.74</v>
      </c>
    </row>
    <row r="948" spans="1:9" ht="15" customHeight="1" x14ac:dyDescent="0.25">
      <c r="A948" s="2" t="s">
        <v>94</v>
      </c>
      <c r="B948" s="2" t="s">
        <v>260</v>
      </c>
      <c r="C948" s="2" t="s">
        <v>261</v>
      </c>
      <c r="D948" s="4">
        <v>8.1980030540000008</v>
      </c>
      <c r="E948" s="3">
        <v>13.57</v>
      </c>
      <c r="F948" s="3">
        <v>111.25</v>
      </c>
      <c r="G948" s="3">
        <v>12.18</v>
      </c>
      <c r="H948" s="3">
        <v>11.41</v>
      </c>
      <c r="I948" s="3">
        <v>99.84</v>
      </c>
    </row>
    <row r="949" spans="1:9" ht="15" customHeight="1" x14ac:dyDescent="0.25">
      <c r="A949" s="2" t="s">
        <v>94</v>
      </c>
      <c r="B949" s="2" t="s">
        <v>136</v>
      </c>
      <c r="C949" s="2" t="s">
        <v>151</v>
      </c>
      <c r="D949" s="4">
        <v>64.701165969000002</v>
      </c>
      <c r="E949" s="3">
        <v>25.06</v>
      </c>
      <c r="F949" s="3">
        <v>1621.09</v>
      </c>
      <c r="G949" s="3">
        <v>25.08</v>
      </c>
      <c r="H949" s="3">
        <v>-1.41</v>
      </c>
      <c r="I949" s="3">
        <v>1622.5</v>
      </c>
    </row>
    <row r="950" spans="1:9" ht="15" customHeight="1" x14ac:dyDescent="0.25">
      <c r="A950" s="2" t="s">
        <v>94</v>
      </c>
      <c r="B950" s="2" t="s">
        <v>283</v>
      </c>
      <c r="C950" s="2" t="s">
        <v>284</v>
      </c>
      <c r="D950" s="4">
        <v>0.58089422899999998</v>
      </c>
      <c r="E950" s="3">
        <v>328.49</v>
      </c>
      <c r="F950" s="3">
        <v>190.82</v>
      </c>
      <c r="G950" s="3">
        <v>264.99</v>
      </c>
      <c r="H950" s="3">
        <v>36.89</v>
      </c>
      <c r="I950" s="3">
        <v>153.93</v>
      </c>
    </row>
    <row r="951" spans="1:9" ht="15" customHeight="1" x14ac:dyDescent="0.25">
      <c r="A951" s="2" t="s">
        <v>94</v>
      </c>
      <c r="B951" s="2" t="s">
        <v>285</v>
      </c>
      <c r="C951" s="2" t="s">
        <v>286</v>
      </c>
      <c r="D951" s="4">
        <v>2.1541698130000002</v>
      </c>
      <c r="E951" s="3">
        <v>46.85</v>
      </c>
      <c r="F951" s="3">
        <v>100.92</v>
      </c>
      <c r="G951" s="3">
        <v>46.35</v>
      </c>
      <c r="H951" s="3">
        <v>1.0900000000000001</v>
      </c>
      <c r="I951" s="3">
        <v>99.83</v>
      </c>
    </row>
  </sheetData>
  <autoFilter ref="A1:I95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2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5" width="13" customWidth="1"/>
    <col min="6" max="6" width="45" customWidth="1"/>
    <col min="7" max="10" width="13" customWidth="1"/>
  </cols>
  <sheetData>
    <row r="1" spans="1:10" ht="15" customHeight="1" x14ac:dyDescent="0.25">
      <c r="A1" s="1" t="s">
        <v>0</v>
      </c>
      <c r="B1" s="1" t="s">
        <v>287</v>
      </c>
      <c r="C1" s="1" t="s">
        <v>288</v>
      </c>
      <c r="D1" s="1" t="s">
        <v>289</v>
      </c>
      <c r="E1" s="1" t="s">
        <v>96</v>
      </c>
      <c r="F1" s="1" t="s">
        <v>97</v>
      </c>
      <c r="G1" s="1" t="s">
        <v>98</v>
      </c>
      <c r="H1" s="1" t="s">
        <v>290</v>
      </c>
      <c r="I1" s="1" t="s">
        <v>291</v>
      </c>
      <c r="J1" s="1" t="s">
        <v>292</v>
      </c>
    </row>
    <row r="2" spans="1:10" ht="15" customHeight="1" x14ac:dyDescent="0.25">
      <c r="A2" s="2" t="s">
        <v>15</v>
      </c>
      <c r="B2" s="2" t="s">
        <v>293</v>
      </c>
      <c r="C2" s="2" t="s">
        <v>294</v>
      </c>
      <c r="D2" s="2" t="s">
        <v>295</v>
      </c>
      <c r="E2" s="2" t="s">
        <v>107</v>
      </c>
      <c r="F2" s="2"/>
      <c r="G2" s="4">
        <v>0.29756297300000001</v>
      </c>
      <c r="H2" s="3">
        <v>48.83</v>
      </c>
      <c r="I2" s="3">
        <v>-14.53</v>
      </c>
      <c r="J2" s="3"/>
    </row>
    <row r="3" spans="1:10" ht="15" customHeight="1" x14ac:dyDescent="0.25">
      <c r="A3" s="2" t="s">
        <v>15</v>
      </c>
      <c r="B3" s="2" t="s">
        <v>293</v>
      </c>
      <c r="C3" s="2" t="s">
        <v>294</v>
      </c>
      <c r="D3" s="2" t="s">
        <v>295</v>
      </c>
      <c r="E3" s="2" t="s">
        <v>109</v>
      </c>
      <c r="F3" s="2"/>
      <c r="G3" s="4">
        <v>1</v>
      </c>
      <c r="H3" s="3">
        <v>15.48</v>
      </c>
      <c r="I3" s="3">
        <v>-15.48</v>
      </c>
      <c r="J3" s="3">
        <v>0.02</v>
      </c>
    </row>
    <row r="4" spans="1:10" ht="15" customHeight="1" x14ac:dyDescent="0.25">
      <c r="A4" s="2" t="s">
        <v>18</v>
      </c>
      <c r="B4" s="2" t="s">
        <v>296</v>
      </c>
      <c r="C4" s="2" t="s">
        <v>294</v>
      </c>
      <c r="D4" s="2" t="s">
        <v>295</v>
      </c>
      <c r="E4" s="2" t="s">
        <v>107</v>
      </c>
      <c r="F4" s="2"/>
      <c r="G4" s="4">
        <v>0.42331845299999998</v>
      </c>
      <c r="H4" s="3">
        <v>52.87</v>
      </c>
      <c r="I4" s="3">
        <v>-22.38</v>
      </c>
      <c r="J4" s="3"/>
    </row>
    <row r="5" spans="1:10" ht="15" customHeight="1" x14ac:dyDescent="0.25">
      <c r="A5" s="2" t="s">
        <v>18</v>
      </c>
      <c r="B5" s="2" t="s">
        <v>296</v>
      </c>
      <c r="C5" s="2" t="s">
        <v>294</v>
      </c>
      <c r="D5" s="2" t="s">
        <v>295</v>
      </c>
      <c r="E5" s="2" t="s">
        <v>109</v>
      </c>
      <c r="F5" s="2"/>
      <c r="G5" s="4">
        <v>1</v>
      </c>
      <c r="H5" s="3">
        <v>16.07</v>
      </c>
      <c r="I5" s="3">
        <v>-16.07</v>
      </c>
      <c r="J5" s="3">
        <v>0.02</v>
      </c>
    </row>
    <row r="6" spans="1:10" ht="15" customHeight="1" x14ac:dyDescent="0.25">
      <c r="A6" s="2" t="s">
        <v>18</v>
      </c>
      <c r="B6" s="2" t="s">
        <v>296</v>
      </c>
      <c r="C6" s="2" t="s">
        <v>294</v>
      </c>
      <c r="D6" s="2" t="s">
        <v>295</v>
      </c>
      <c r="E6" s="2" t="s">
        <v>107</v>
      </c>
      <c r="F6" s="2"/>
      <c r="G6" s="4">
        <v>0.36369637500000002</v>
      </c>
      <c r="H6" s="3">
        <v>52.87</v>
      </c>
      <c r="I6" s="3">
        <v>-19.23</v>
      </c>
      <c r="J6" s="3">
        <v>0.03</v>
      </c>
    </row>
    <row r="7" spans="1:10" ht="15" customHeight="1" x14ac:dyDescent="0.25">
      <c r="A7" s="2" t="s">
        <v>38</v>
      </c>
      <c r="B7" s="2" t="s">
        <v>297</v>
      </c>
      <c r="C7" s="2" t="s">
        <v>294</v>
      </c>
      <c r="D7" s="2" t="s">
        <v>295</v>
      </c>
      <c r="E7" s="2" t="s">
        <v>113</v>
      </c>
      <c r="F7" s="2"/>
      <c r="G7" s="4">
        <v>1.0311635619999999</v>
      </c>
      <c r="H7" s="3">
        <v>54.23</v>
      </c>
      <c r="I7" s="3">
        <v>-55.92</v>
      </c>
      <c r="J7" s="3"/>
    </row>
    <row r="8" spans="1:10" ht="15" customHeight="1" x14ac:dyDescent="0.25">
      <c r="A8" s="2" t="s">
        <v>38</v>
      </c>
      <c r="B8" s="2" t="s">
        <v>298</v>
      </c>
      <c r="C8" s="2" t="s">
        <v>294</v>
      </c>
      <c r="D8" s="2" t="s">
        <v>295</v>
      </c>
      <c r="E8" s="2" t="s">
        <v>111</v>
      </c>
      <c r="F8" s="2"/>
      <c r="G8" s="4">
        <v>0.48281390600000001</v>
      </c>
      <c r="H8" s="3">
        <v>71.099999999999994</v>
      </c>
      <c r="I8" s="3">
        <v>-34.33</v>
      </c>
      <c r="J8" s="3">
        <v>0.06</v>
      </c>
    </row>
    <row r="9" spans="1:10" ht="15" customHeight="1" x14ac:dyDescent="0.25">
      <c r="A9" s="2" t="s">
        <v>38</v>
      </c>
      <c r="B9" s="2" t="s">
        <v>299</v>
      </c>
      <c r="C9" s="2" t="s">
        <v>294</v>
      </c>
      <c r="D9" s="2" t="s">
        <v>295</v>
      </c>
      <c r="E9" s="2" t="s">
        <v>107</v>
      </c>
      <c r="F9" s="2"/>
      <c r="G9" s="4">
        <v>0.71816119099999998</v>
      </c>
      <c r="H9" s="3">
        <v>40.549999999999997</v>
      </c>
      <c r="I9" s="3">
        <v>-29.12</v>
      </c>
      <c r="J9" s="3">
        <v>0.05</v>
      </c>
    </row>
    <row r="10" spans="1:10" ht="15" customHeight="1" x14ac:dyDescent="0.25">
      <c r="A10" s="2" t="s">
        <v>40</v>
      </c>
      <c r="B10" s="2" t="s">
        <v>300</v>
      </c>
      <c r="C10" s="2" t="s">
        <v>294</v>
      </c>
      <c r="D10" s="2" t="s">
        <v>295</v>
      </c>
      <c r="E10" s="2" t="s">
        <v>109</v>
      </c>
      <c r="F10" s="2"/>
      <c r="G10" s="4">
        <v>2</v>
      </c>
      <c r="H10" s="3">
        <v>16.760000000000002</v>
      </c>
      <c r="I10" s="3">
        <v>-33.520000000000003</v>
      </c>
      <c r="J10" s="3"/>
    </row>
    <row r="11" spans="1:10" ht="15" customHeight="1" x14ac:dyDescent="0.25">
      <c r="A11" s="2" t="s">
        <v>42</v>
      </c>
      <c r="B11" s="2" t="s">
        <v>301</v>
      </c>
      <c r="C11" s="2" t="s">
        <v>294</v>
      </c>
      <c r="D11" s="2" t="s">
        <v>295</v>
      </c>
      <c r="E11" s="2" t="s">
        <v>115</v>
      </c>
      <c r="F11" s="2"/>
      <c r="G11" s="4">
        <v>1.28167889</v>
      </c>
      <c r="H11" s="3">
        <v>110.17</v>
      </c>
      <c r="I11" s="3">
        <v>-141.19999999999999</v>
      </c>
      <c r="J11" s="3"/>
    </row>
    <row r="12" spans="1:10" ht="15" customHeight="1" x14ac:dyDescent="0.25">
      <c r="A12" s="2" t="s">
        <v>44</v>
      </c>
      <c r="B12" s="2" t="s">
        <v>302</v>
      </c>
      <c r="C12" s="2" t="s">
        <v>294</v>
      </c>
      <c r="D12" s="2" t="s">
        <v>295</v>
      </c>
      <c r="E12" s="2" t="s">
        <v>115</v>
      </c>
      <c r="F12" s="2"/>
      <c r="G12" s="4">
        <v>0.50908364900000003</v>
      </c>
      <c r="H12" s="3">
        <v>110.2</v>
      </c>
      <c r="I12" s="3">
        <v>-56.1</v>
      </c>
      <c r="J12" s="3"/>
    </row>
    <row r="13" spans="1:10" ht="15" customHeight="1" x14ac:dyDescent="0.25">
      <c r="A13" s="2" t="s">
        <v>44</v>
      </c>
      <c r="B13" s="2" t="s">
        <v>303</v>
      </c>
      <c r="C13" s="2" t="s">
        <v>294</v>
      </c>
      <c r="D13" s="2" t="s">
        <v>295</v>
      </c>
      <c r="E13" s="2" t="s">
        <v>115</v>
      </c>
      <c r="F13" s="2"/>
      <c r="G13" s="4">
        <v>1.2756286960000001</v>
      </c>
      <c r="H13" s="3">
        <v>110.23</v>
      </c>
      <c r="I13" s="3">
        <v>-140.61000000000001</v>
      </c>
      <c r="J13" s="3">
        <v>0.23</v>
      </c>
    </row>
    <row r="14" spans="1:10" ht="15" customHeight="1" x14ac:dyDescent="0.25">
      <c r="A14" s="2" t="s">
        <v>44</v>
      </c>
      <c r="B14" s="2" t="s">
        <v>304</v>
      </c>
      <c r="C14" s="2" t="s">
        <v>294</v>
      </c>
      <c r="D14" s="2" t="s">
        <v>295</v>
      </c>
      <c r="E14" s="2" t="s">
        <v>117</v>
      </c>
      <c r="F14" s="2"/>
      <c r="G14" s="4">
        <v>1</v>
      </c>
      <c r="H14" s="3">
        <v>17.98</v>
      </c>
      <c r="I14" s="3">
        <v>-17.98</v>
      </c>
      <c r="J14" s="3"/>
    </row>
    <row r="15" spans="1:10" ht="15" customHeight="1" x14ac:dyDescent="0.25">
      <c r="A15" s="2" t="s">
        <v>44</v>
      </c>
      <c r="B15" s="2" t="s">
        <v>304</v>
      </c>
      <c r="C15" s="2" t="s">
        <v>294</v>
      </c>
      <c r="D15" s="2" t="s">
        <v>295</v>
      </c>
      <c r="E15" s="2" t="s">
        <v>117</v>
      </c>
      <c r="F15" s="2"/>
      <c r="G15" s="4">
        <v>1.3240611959999999</v>
      </c>
      <c r="H15" s="3">
        <v>17.98</v>
      </c>
      <c r="I15" s="3">
        <v>-23.8</v>
      </c>
      <c r="J15" s="3">
        <v>7.0000000000000007E-2</v>
      </c>
    </row>
    <row r="16" spans="1:10" ht="15" customHeight="1" x14ac:dyDescent="0.25">
      <c r="A16" s="2" t="s">
        <v>44</v>
      </c>
      <c r="B16" s="2" t="s">
        <v>304</v>
      </c>
      <c r="C16" s="2" t="s">
        <v>294</v>
      </c>
      <c r="D16" s="2" t="s">
        <v>295</v>
      </c>
      <c r="E16" s="2" t="s">
        <v>119</v>
      </c>
      <c r="F16" s="2"/>
      <c r="G16" s="4">
        <v>0.69302594100000003</v>
      </c>
      <c r="H16" s="3">
        <v>100.46</v>
      </c>
      <c r="I16" s="3">
        <v>-69.62</v>
      </c>
      <c r="J16" s="3">
        <v>0.11</v>
      </c>
    </row>
    <row r="17" spans="1:10" ht="15" customHeight="1" x14ac:dyDescent="0.25">
      <c r="A17" s="2" t="s">
        <v>46</v>
      </c>
      <c r="B17" s="2" t="s">
        <v>305</v>
      </c>
      <c r="C17" s="2" t="s">
        <v>294</v>
      </c>
      <c r="D17" s="2" t="s">
        <v>295</v>
      </c>
      <c r="E17" s="2" t="s">
        <v>117</v>
      </c>
      <c r="F17" s="2"/>
      <c r="G17" s="4">
        <v>14</v>
      </c>
      <c r="H17" s="3">
        <v>17.940000000000001</v>
      </c>
      <c r="I17" s="3">
        <v>-251.09</v>
      </c>
      <c r="J17" s="3"/>
    </row>
    <row r="18" spans="1:10" ht="15" customHeight="1" x14ac:dyDescent="0.25">
      <c r="A18" s="2" t="s">
        <v>46</v>
      </c>
      <c r="B18" s="2" t="s">
        <v>305</v>
      </c>
      <c r="C18" s="2" t="s">
        <v>294</v>
      </c>
      <c r="D18" s="2" t="s">
        <v>295</v>
      </c>
      <c r="E18" s="2" t="s">
        <v>117</v>
      </c>
      <c r="F18" s="2"/>
      <c r="G18" s="4">
        <v>1.217173125</v>
      </c>
      <c r="H18" s="3">
        <v>17.940000000000001</v>
      </c>
      <c r="I18" s="3">
        <v>-21.83</v>
      </c>
      <c r="J18" s="3"/>
    </row>
    <row r="19" spans="1:10" ht="15" customHeight="1" x14ac:dyDescent="0.25">
      <c r="A19" s="2" t="s">
        <v>46</v>
      </c>
      <c r="B19" s="2" t="s">
        <v>305</v>
      </c>
      <c r="C19" s="2" t="s">
        <v>294</v>
      </c>
      <c r="D19" s="2" t="s">
        <v>295</v>
      </c>
      <c r="E19" s="2" t="s">
        <v>115</v>
      </c>
      <c r="F19" s="2"/>
      <c r="G19" s="4">
        <v>16</v>
      </c>
      <c r="H19" s="3">
        <v>110.06</v>
      </c>
      <c r="I19" s="3">
        <v>-1760.96</v>
      </c>
      <c r="J19" s="3"/>
    </row>
    <row r="20" spans="1:10" ht="15" customHeight="1" x14ac:dyDescent="0.25">
      <c r="A20" s="2" t="s">
        <v>46</v>
      </c>
      <c r="B20" s="2" t="s">
        <v>305</v>
      </c>
      <c r="C20" s="2" t="s">
        <v>294</v>
      </c>
      <c r="D20" s="2" t="s">
        <v>295</v>
      </c>
      <c r="E20" s="2" t="s">
        <v>115</v>
      </c>
      <c r="F20" s="2"/>
      <c r="G20" s="4">
        <v>1.353716154</v>
      </c>
      <c r="H20" s="3">
        <v>110.06</v>
      </c>
      <c r="I20" s="3">
        <v>-148.99</v>
      </c>
      <c r="J20" s="3"/>
    </row>
    <row r="21" spans="1:10" ht="15" customHeight="1" x14ac:dyDescent="0.25">
      <c r="A21" s="2" t="s">
        <v>46</v>
      </c>
      <c r="B21" s="2" t="s">
        <v>305</v>
      </c>
      <c r="C21" s="2" t="s">
        <v>294</v>
      </c>
      <c r="D21" s="2" t="s">
        <v>295</v>
      </c>
      <c r="E21" s="2" t="s">
        <v>125</v>
      </c>
      <c r="F21" s="2"/>
      <c r="G21" s="4">
        <v>36</v>
      </c>
      <c r="H21" s="3">
        <v>13.06</v>
      </c>
      <c r="I21" s="3">
        <v>-470.02</v>
      </c>
      <c r="J21" s="3"/>
    </row>
    <row r="22" spans="1:10" ht="15" customHeight="1" x14ac:dyDescent="0.25">
      <c r="A22" s="2" t="s">
        <v>46</v>
      </c>
      <c r="B22" s="2" t="s">
        <v>306</v>
      </c>
      <c r="C22" s="2" t="s">
        <v>294</v>
      </c>
      <c r="D22" s="2" t="s">
        <v>295</v>
      </c>
      <c r="E22" s="2" t="s">
        <v>121</v>
      </c>
      <c r="F22" s="2"/>
      <c r="G22" s="4">
        <v>15</v>
      </c>
      <c r="H22" s="3">
        <v>14.55</v>
      </c>
      <c r="I22" s="3">
        <v>-218.25</v>
      </c>
      <c r="J22" s="3"/>
    </row>
    <row r="23" spans="1:10" ht="15" customHeight="1" x14ac:dyDescent="0.25">
      <c r="A23" s="2" t="s">
        <v>46</v>
      </c>
      <c r="B23" s="2" t="s">
        <v>307</v>
      </c>
      <c r="C23" s="2" t="s">
        <v>294</v>
      </c>
      <c r="D23" s="2" t="s">
        <v>295</v>
      </c>
      <c r="E23" s="2" t="s">
        <v>123</v>
      </c>
      <c r="F23" s="2"/>
      <c r="G23" s="4">
        <v>11</v>
      </c>
      <c r="H23" s="3">
        <v>16.43</v>
      </c>
      <c r="I23" s="3">
        <v>-180.68</v>
      </c>
      <c r="J23" s="3"/>
    </row>
    <row r="24" spans="1:10" ht="15" customHeight="1" x14ac:dyDescent="0.25">
      <c r="A24" s="2" t="s">
        <v>46</v>
      </c>
      <c r="B24" s="2" t="s">
        <v>307</v>
      </c>
      <c r="C24" s="2" t="s">
        <v>294</v>
      </c>
      <c r="D24" s="2" t="s">
        <v>295</v>
      </c>
      <c r="E24" s="2" t="s">
        <v>123</v>
      </c>
      <c r="F24" s="2"/>
      <c r="G24" s="4">
        <v>1.825266362</v>
      </c>
      <c r="H24" s="3">
        <v>16.43</v>
      </c>
      <c r="I24" s="3">
        <v>-29.98</v>
      </c>
      <c r="J24" s="3">
        <v>0.34</v>
      </c>
    </row>
    <row r="25" spans="1:10" ht="15" customHeight="1" x14ac:dyDescent="0.25">
      <c r="A25" s="2" t="s">
        <v>48</v>
      </c>
      <c r="B25" s="2" t="s">
        <v>308</v>
      </c>
      <c r="C25" s="2" t="s">
        <v>294</v>
      </c>
      <c r="D25" s="2" t="s">
        <v>295</v>
      </c>
      <c r="E25" s="2" t="s">
        <v>127</v>
      </c>
      <c r="F25" s="2"/>
      <c r="G25" s="4">
        <v>37</v>
      </c>
      <c r="H25" s="3">
        <v>25.37</v>
      </c>
      <c r="I25" s="3">
        <v>-938.51</v>
      </c>
      <c r="J25" s="3"/>
    </row>
    <row r="26" spans="1:10" ht="15" customHeight="1" x14ac:dyDescent="0.25">
      <c r="A26" s="2" t="s">
        <v>48</v>
      </c>
      <c r="B26" s="2" t="s">
        <v>308</v>
      </c>
      <c r="C26" s="2" t="s">
        <v>294</v>
      </c>
      <c r="D26" s="2" t="s">
        <v>295</v>
      </c>
      <c r="E26" s="2" t="s">
        <v>127</v>
      </c>
      <c r="F26" s="2"/>
      <c r="G26" s="4">
        <v>1.140942243</v>
      </c>
      <c r="H26" s="3">
        <v>25.37</v>
      </c>
      <c r="I26" s="3">
        <v>-28.94</v>
      </c>
      <c r="J26" s="3">
        <v>1.55</v>
      </c>
    </row>
    <row r="27" spans="1:10" ht="15" customHeight="1" x14ac:dyDescent="0.25">
      <c r="A27" s="2" t="s">
        <v>48</v>
      </c>
      <c r="B27" s="2" t="s">
        <v>308</v>
      </c>
      <c r="C27" s="2" t="s">
        <v>294</v>
      </c>
      <c r="D27" s="2" t="s">
        <v>295</v>
      </c>
      <c r="E27" s="2" t="s">
        <v>121</v>
      </c>
      <c r="F27" s="2"/>
      <c r="G27" s="4">
        <v>15</v>
      </c>
      <c r="H27" s="3">
        <v>14.52</v>
      </c>
      <c r="I27" s="3">
        <v>-217.73</v>
      </c>
      <c r="J27" s="3">
        <v>0.35</v>
      </c>
    </row>
    <row r="28" spans="1:10" ht="15" customHeight="1" x14ac:dyDescent="0.25">
      <c r="A28" s="2" t="s">
        <v>48</v>
      </c>
      <c r="B28" s="2" t="s">
        <v>308</v>
      </c>
      <c r="C28" s="2" t="s">
        <v>294</v>
      </c>
      <c r="D28" s="2" t="s">
        <v>295</v>
      </c>
      <c r="E28" s="2" t="s">
        <v>119</v>
      </c>
      <c r="F28" s="2"/>
      <c r="G28" s="4">
        <v>10</v>
      </c>
      <c r="H28" s="3">
        <v>100.3</v>
      </c>
      <c r="I28" s="3">
        <v>-1003</v>
      </c>
      <c r="J28" s="3"/>
    </row>
    <row r="29" spans="1:10" ht="15" customHeight="1" x14ac:dyDescent="0.25">
      <c r="A29" s="2" t="s">
        <v>48</v>
      </c>
      <c r="B29" s="2" t="s">
        <v>308</v>
      </c>
      <c r="C29" s="2" t="s">
        <v>294</v>
      </c>
      <c r="D29" s="2" t="s">
        <v>295</v>
      </c>
      <c r="E29" s="2" t="s">
        <v>119</v>
      </c>
      <c r="F29" s="2"/>
      <c r="G29" s="4">
        <v>1.2761714850000001</v>
      </c>
      <c r="H29" s="3">
        <v>100.3</v>
      </c>
      <c r="I29" s="3">
        <v>-128</v>
      </c>
      <c r="J29" s="3"/>
    </row>
    <row r="30" spans="1:10" ht="15" customHeight="1" x14ac:dyDescent="0.25">
      <c r="A30" s="2" t="s">
        <v>48</v>
      </c>
      <c r="B30" s="2" t="s">
        <v>308</v>
      </c>
      <c r="C30" s="2" t="s">
        <v>294</v>
      </c>
      <c r="D30" s="2" t="s">
        <v>295</v>
      </c>
      <c r="E30" s="2" t="s">
        <v>115</v>
      </c>
      <c r="F30" s="2"/>
      <c r="G30" s="4">
        <v>8</v>
      </c>
      <c r="H30" s="3">
        <v>110.03</v>
      </c>
      <c r="I30" s="3">
        <v>-880.24</v>
      </c>
      <c r="J30" s="3"/>
    </row>
    <row r="31" spans="1:10" ht="15" customHeight="1" x14ac:dyDescent="0.25">
      <c r="A31" s="2" t="s">
        <v>48</v>
      </c>
      <c r="B31" s="2" t="s">
        <v>308</v>
      </c>
      <c r="C31" s="2" t="s">
        <v>294</v>
      </c>
      <c r="D31" s="2" t="s">
        <v>295</v>
      </c>
      <c r="E31" s="2" t="s">
        <v>115</v>
      </c>
      <c r="F31" s="2"/>
      <c r="G31" s="4">
        <v>1.170228429</v>
      </c>
      <c r="H31" s="3">
        <v>110.03</v>
      </c>
      <c r="I31" s="3">
        <v>-128.76</v>
      </c>
      <c r="J31" s="3"/>
    </row>
    <row r="32" spans="1:10" ht="15" customHeight="1" x14ac:dyDescent="0.25">
      <c r="A32" s="2" t="s">
        <v>48</v>
      </c>
      <c r="B32" s="2" t="s">
        <v>308</v>
      </c>
      <c r="C32" s="2" t="s">
        <v>294</v>
      </c>
      <c r="D32" s="2" t="s">
        <v>295</v>
      </c>
      <c r="E32" s="2" t="s">
        <v>125</v>
      </c>
      <c r="F32" s="2"/>
      <c r="G32" s="4">
        <v>3</v>
      </c>
      <c r="H32" s="3">
        <v>12.78</v>
      </c>
      <c r="I32" s="3">
        <v>-38.340000000000003</v>
      </c>
      <c r="J32" s="3">
        <v>0.06</v>
      </c>
    </row>
    <row r="33" spans="1:10" ht="15" customHeight="1" x14ac:dyDescent="0.25">
      <c r="A33" s="2" t="s">
        <v>48</v>
      </c>
      <c r="B33" s="2" t="s">
        <v>309</v>
      </c>
      <c r="C33" s="2" t="s">
        <v>294</v>
      </c>
      <c r="D33" s="2" t="s">
        <v>295</v>
      </c>
      <c r="E33" s="2" t="s">
        <v>129</v>
      </c>
      <c r="F33" s="2"/>
      <c r="G33" s="4">
        <v>4</v>
      </c>
      <c r="H33" s="3">
        <v>50.41</v>
      </c>
      <c r="I33" s="3">
        <v>-201.63</v>
      </c>
      <c r="J33" s="3">
        <v>0.32</v>
      </c>
    </row>
    <row r="34" spans="1:10" ht="15" customHeight="1" x14ac:dyDescent="0.25">
      <c r="A34" s="2" t="s">
        <v>48</v>
      </c>
      <c r="B34" s="2" t="s">
        <v>310</v>
      </c>
      <c r="C34" s="2" t="s">
        <v>294</v>
      </c>
      <c r="D34" s="2" t="s">
        <v>295</v>
      </c>
      <c r="E34" s="2" t="s">
        <v>121</v>
      </c>
      <c r="F34" s="2"/>
      <c r="G34" s="4">
        <v>8</v>
      </c>
      <c r="H34" s="3">
        <v>14.09</v>
      </c>
      <c r="I34" s="3">
        <v>-112.72</v>
      </c>
      <c r="J34" s="3">
        <v>0.18</v>
      </c>
    </row>
    <row r="35" spans="1:10" ht="15" customHeight="1" x14ac:dyDescent="0.25">
      <c r="A35" s="2" t="s">
        <v>50</v>
      </c>
      <c r="B35" s="2" t="s">
        <v>311</v>
      </c>
      <c r="C35" s="2" t="s">
        <v>294</v>
      </c>
      <c r="D35" s="2" t="s">
        <v>295</v>
      </c>
      <c r="E35" s="2" t="s">
        <v>127</v>
      </c>
      <c r="F35" s="2"/>
      <c r="G35" s="4">
        <v>7</v>
      </c>
      <c r="H35" s="3">
        <v>25.4</v>
      </c>
      <c r="I35" s="3">
        <v>-177.8</v>
      </c>
      <c r="J35" s="3"/>
    </row>
    <row r="36" spans="1:10" ht="15" customHeight="1" x14ac:dyDescent="0.25">
      <c r="A36" s="2" t="s">
        <v>50</v>
      </c>
      <c r="B36" s="2" t="s">
        <v>311</v>
      </c>
      <c r="C36" s="2" t="s">
        <v>294</v>
      </c>
      <c r="D36" s="2" t="s">
        <v>295</v>
      </c>
      <c r="E36" s="2" t="s">
        <v>127</v>
      </c>
      <c r="F36" s="2"/>
      <c r="G36" s="4">
        <v>1.5827020890000001</v>
      </c>
      <c r="H36" s="3">
        <v>25.4</v>
      </c>
      <c r="I36" s="3">
        <v>-40.200000000000003</v>
      </c>
      <c r="J36" s="3"/>
    </row>
    <row r="37" spans="1:10" ht="15" customHeight="1" x14ac:dyDescent="0.25">
      <c r="A37" s="2" t="s">
        <v>50</v>
      </c>
      <c r="B37" s="2" t="s">
        <v>311</v>
      </c>
      <c r="C37" s="2" t="s">
        <v>294</v>
      </c>
      <c r="D37" s="2" t="s">
        <v>295</v>
      </c>
      <c r="E37" s="2" t="s">
        <v>132</v>
      </c>
      <c r="F37" s="2"/>
      <c r="G37" s="4">
        <v>6</v>
      </c>
      <c r="H37" s="3">
        <v>18.14</v>
      </c>
      <c r="I37" s="3">
        <v>-108.84</v>
      </c>
      <c r="J37" s="3">
        <v>0.17</v>
      </c>
    </row>
    <row r="38" spans="1:10" ht="15" customHeight="1" x14ac:dyDescent="0.25">
      <c r="A38" s="2" t="s">
        <v>50</v>
      </c>
      <c r="B38" s="2" t="s">
        <v>311</v>
      </c>
      <c r="C38" s="2" t="s">
        <v>294</v>
      </c>
      <c r="D38" s="2" t="s">
        <v>295</v>
      </c>
      <c r="E38" s="2" t="s">
        <v>121</v>
      </c>
      <c r="F38" s="2"/>
      <c r="G38" s="4">
        <v>8</v>
      </c>
      <c r="H38" s="3">
        <v>13.93</v>
      </c>
      <c r="I38" s="3">
        <v>-111.44</v>
      </c>
      <c r="J38" s="3">
        <v>0.18</v>
      </c>
    </row>
    <row r="39" spans="1:10" ht="15" customHeight="1" x14ac:dyDescent="0.25">
      <c r="A39" s="2" t="s">
        <v>50</v>
      </c>
      <c r="B39" s="2" t="s">
        <v>311</v>
      </c>
      <c r="C39" s="2" t="s">
        <v>294</v>
      </c>
      <c r="D39" s="2" t="s">
        <v>295</v>
      </c>
      <c r="E39" s="2" t="s">
        <v>129</v>
      </c>
      <c r="F39" s="2"/>
      <c r="G39" s="4">
        <v>2</v>
      </c>
      <c r="H39" s="3">
        <v>50.46</v>
      </c>
      <c r="I39" s="3">
        <v>-100.92</v>
      </c>
      <c r="J39" s="3">
        <v>0.16</v>
      </c>
    </row>
    <row r="40" spans="1:10" ht="15" customHeight="1" x14ac:dyDescent="0.25">
      <c r="A40" s="2" t="s">
        <v>50</v>
      </c>
      <c r="B40" s="2" t="s">
        <v>311</v>
      </c>
      <c r="C40" s="2" t="s">
        <v>294</v>
      </c>
      <c r="D40" s="2" t="s">
        <v>295</v>
      </c>
      <c r="E40" s="2" t="s">
        <v>123</v>
      </c>
      <c r="F40" s="2"/>
      <c r="G40" s="4">
        <v>1.3507196450000001</v>
      </c>
      <c r="H40" s="3">
        <v>16.260000000000002</v>
      </c>
      <c r="I40" s="3">
        <v>-21.96</v>
      </c>
      <c r="J40" s="3">
        <v>0.04</v>
      </c>
    </row>
    <row r="41" spans="1:10" ht="15" customHeight="1" x14ac:dyDescent="0.25">
      <c r="A41" s="2" t="s">
        <v>50</v>
      </c>
      <c r="B41" s="2" t="s">
        <v>311</v>
      </c>
      <c r="C41" s="2" t="s">
        <v>294</v>
      </c>
      <c r="D41" s="2" t="s">
        <v>295</v>
      </c>
      <c r="E41" s="2" t="s">
        <v>119</v>
      </c>
      <c r="F41" s="2"/>
      <c r="G41" s="4">
        <v>3</v>
      </c>
      <c r="H41" s="3">
        <v>100.33</v>
      </c>
      <c r="I41" s="3">
        <v>-300.99</v>
      </c>
      <c r="J41" s="3"/>
    </row>
    <row r="42" spans="1:10" ht="15" customHeight="1" x14ac:dyDescent="0.25">
      <c r="A42" s="2" t="s">
        <v>50</v>
      </c>
      <c r="B42" s="2" t="s">
        <v>311</v>
      </c>
      <c r="C42" s="2" t="s">
        <v>294</v>
      </c>
      <c r="D42" s="2" t="s">
        <v>295</v>
      </c>
      <c r="E42" s="2" t="s">
        <v>119</v>
      </c>
      <c r="F42" s="2"/>
      <c r="G42" s="4">
        <v>1.5549686030000001</v>
      </c>
      <c r="H42" s="3">
        <v>100.33</v>
      </c>
      <c r="I42" s="3">
        <v>-156.01</v>
      </c>
      <c r="J42" s="3"/>
    </row>
    <row r="43" spans="1:10" ht="15" customHeight="1" x14ac:dyDescent="0.25">
      <c r="A43" s="2" t="s">
        <v>50</v>
      </c>
      <c r="B43" s="2" t="s">
        <v>311</v>
      </c>
      <c r="C43" s="2" t="s">
        <v>294</v>
      </c>
      <c r="D43" s="2" t="s">
        <v>295</v>
      </c>
      <c r="E43" s="2" t="s">
        <v>115</v>
      </c>
      <c r="F43" s="2"/>
      <c r="G43" s="4">
        <v>4</v>
      </c>
      <c r="H43" s="3">
        <v>110.06</v>
      </c>
      <c r="I43" s="3">
        <v>-440.24</v>
      </c>
      <c r="J43" s="3"/>
    </row>
    <row r="44" spans="1:10" ht="15" customHeight="1" x14ac:dyDescent="0.25">
      <c r="A44" s="2" t="s">
        <v>50</v>
      </c>
      <c r="B44" s="2" t="s">
        <v>311</v>
      </c>
      <c r="C44" s="2" t="s">
        <v>294</v>
      </c>
      <c r="D44" s="2" t="s">
        <v>295</v>
      </c>
      <c r="E44" s="2" t="s">
        <v>115</v>
      </c>
      <c r="F44" s="2"/>
      <c r="G44" s="4">
        <v>1.9331273849999999</v>
      </c>
      <c r="H44" s="3">
        <v>110.06</v>
      </c>
      <c r="I44" s="3">
        <v>-212.76</v>
      </c>
      <c r="J44" s="3"/>
    </row>
    <row r="45" spans="1:10" ht="15" customHeight="1" x14ac:dyDescent="0.25">
      <c r="A45" s="2" t="s">
        <v>50</v>
      </c>
      <c r="B45" s="2" t="s">
        <v>312</v>
      </c>
      <c r="C45" s="2" t="s">
        <v>294</v>
      </c>
      <c r="D45" s="2" t="s">
        <v>295</v>
      </c>
      <c r="E45" s="2" t="s">
        <v>132</v>
      </c>
      <c r="F45" s="2"/>
      <c r="G45" s="4">
        <v>6</v>
      </c>
      <c r="H45" s="3">
        <v>18.170000000000002</v>
      </c>
      <c r="I45" s="3">
        <v>-109.04</v>
      </c>
      <c r="J45" s="3">
        <v>0.17</v>
      </c>
    </row>
    <row r="46" spans="1:10" ht="15" customHeight="1" x14ac:dyDescent="0.25">
      <c r="A46" s="2" t="s">
        <v>50</v>
      </c>
      <c r="B46" s="2" t="s">
        <v>312</v>
      </c>
      <c r="C46" s="2" t="s">
        <v>294</v>
      </c>
      <c r="D46" s="2" t="s">
        <v>295</v>
      </c>
      <c r="E46" s="2" t="s">
        <v>134</v>
      </c>
      <c r="F46" s="2"/>
      <c r="G46" s="4">
        <v>9</v>
      </c>
      <c r="H46" s="3">
        <v>25.64</v>
      </c>
      <c r="I46" s="3">
        <v>-230.76</v>
      </c>
      <c r="J46" s="3">
        <v>0.37</v>
      </c>
    </row>
    <row r="47" spans="1:10" ht="15" customHeight="1" x14ac:dyDescent="0.25">
      <c r="A47" s="2" t="s">
        <v>50</v>
      </c>
      <c r="B47" s="2" t="s">
        <v>312</v>
      </c>
      <c r="C47" s="2" t="s">
        <v>294</v>
      </c>
      <c r="D47" s="2" t="s">
        <v>295</v>
      </c>
      <c r="E47" s="2" t="s">
        <v>121</v>
      </c>
      <c r="F47" s="2"/>
      <c r="G47" s="4">
        <v>4</v>
      </c>
      <c r="H47" s="3">
        <v>13.87</v>
      </c>
      <c r="I47" s="3">
        <v>-55.48</v>
      </c>
      <c r="J47" s="3">
        <v>0.09</v>
      </c>
    </row>
    <row r="48" spans="1:10" ht="15" customHeight="1" x14ac:dyDescent="0.25">
      <c r="A48" s="2" t="s">
        <v>50</v>
      </c>
      <c r="B48" s="2" t="s">
        <v>312</v>
      </c>
      <c r="C48" s="2" t="s">
        <v>294</v>
      </c>
      <c r="D48" s="2" t="s">
        <v>295</v>
      </c>
      <c r="E48" s="2" t="s">
        <v>136</v>
      </c>
      <c r="F48" s="2"/>
      <c r="G48" s="4">
        <v>1.524491072</v>
      </c>
      <c r="H48" s="3">
        <v>25.1</v>
      </c>
      <c r="I48" s="3">
        <v>-38.26</v>
      </c>
      <c r="J48" s="3">
        <v>0.26</v>
      </c>
    </row>
    <row r="49" spans="1:10" ht="15" customHeight="1" x14ac:dyDescent="0.25">
      <c r="A49" s="2" t="s">
        <v>50</v>
      </c>
      <c r="B49" s="2" t="s">
        <v>312</v>
      </c>
      <c r="C49" s="2" t="s">
        <v>294</v>
      </c>
      <c r="D49" s="2" t="s">
        <v>295</v>
      </c>
      <c r="E49" s="2" t="s">
        <v>136</v>
      </c>
      <c r="F49" s="2"/>
      <c r="G49" s="4">
        <v>5</v>
      </c>
      <c r="H49" s="3">
        <v>25.1</v>
      </c>
      <c r="I49" s="3">
        <v>-125.48</v>
      </c>
      <c r="J49" s="3"/>
    </row>
    <row r="50" spans="1:10" ht="15" customHeight="1" x14ac:dyDescent="0.25">
      <c r="A50" s="2" t="s">
        <v>52</v>
      </c>
      <c r="B50" s="2" t="s">
        <v>313</v>
      </c>
      <c r="C50" s="2" t="s">
        <v>294</v>
      </c>
      <c r="D50" s="2" t="s">
        <v>295</v>
      </c>
      <c r="E50" s="2" t="s">
        <v>140</v>
      </c>
      <c r="F50" s="2"/>
      <c r="G50" s="4">
        <v>18</v>
      </c>
      <c r="H50" s="3">
        <v>20.9</v>
      </c>
      <c r="I50" s="3">
        <v>-376.21</v>
      </c>
      <c r="J50" s="3">
        <v>0.6</v>
      </c>
    </row>
    <row r="51" spans="1:10" ht="15" customHeight="1" x14ac:dyDescent="0.25">
      <c r="A51" s="2" t="s">
        <v>52</v>
      </c>
      <c r="B51" s="2" t="s">
        <v>313</v>
      </c>
      <c r="C51" s="2" t="s">
        <v>294</v>
      </c>
      <c r="D51" s="2" t="s">
        <v>295</v>
      </c>
      <c r="E51" s="2" t="s">
        <v>127</v>
      </c>
      <c r="F51" s="2"/>
      <c r="G51" s="4">
        <v>1.484735079</v>
      </c>
      <c r="H51" s="3">
        <v>25.39</v>
      </c>
      <c r="I51" s="3">
        <v>-37.69</v>
      </c>
      <c r="J51" s="3"/>
    </row>
    <row r="52" spans="1:10" ht="15" customHeight="1" x14ac:dyDescent="0.25">
      <c r="A52" s="2" t="s">
        <v>52</v>
      </c>
      <c r="B52" s="2" t="s">
        <v>313</v>
      </c>
      <c r="C52" s="2" t="s">
        <v>294</v>
      </c>
      <c r="D52" s="2" t="s">
        <v>295</v>
      </c>
      <c r="E52" s="2" t="s">
        <v>127</v>
      </c>
      <c r="F52" s="2"/>
      <c r="G52" s="4">
        <v>6</v>
      </c>
      <c r="H52" s="3">
        <v>25.39</v>
      </c>
      <c r="I52" s="3">
        <v>-152.31</v>
      </c>
      <c r="J52" s="3"/>
    </row>
    <row r="53" spans="1:10" ht="15" customHeight="1" x14ac:dyDescent="0.25">
      <c r="A53" s="2" t="s">
        <v>52</v>
      </c>
      <c r="B53" s="2" t="s">
        <v>313</v>
      </c>
      <c r="C53" s="2" t="s">
        <v>294</v>
      </c>
      <c r="D53" s="2" t="s">
        <v>295</v>
      </c>
      <c r="E53" s="2" t="s">
        <v>143</v>
      </c>
      <c r="F53" s="2"/>
      <c r="G53" s="4">
        <v>1.640037213</v>
      </c>
      <c r="H53" s="3">
        <v>50.63</v>
      </c>
      <c r="I53" s="3">
        <v>-83.03</v>
      </c>
      <c r="J53" s="3">
        <v>0.46</v>
      </c>
    </row>
    <row r="54" spans="1:10" ht="15" customHeight="1" x14ac:dyDescent="0.25">
      <c r="A54" s="2" t="s">
        <v>52</v>
      </c>
      <c r="B54" s="2" t="s">
        <v>313</v>
      </c>
      <c r="C54" s="2" t="s">
        <v>294</v>
      </c>
      <c r="D54" s="2" t="s">
        <v>295</v>
      </c>
      <c r="E54" s="2" t="s">
        <v>143</v>
      </c>
      <c r="F54" s="2"/>
      <c r="G54" s="4">
        <v>4</v>
      </c>
      <c r="H54" s="3">
        <v>50.63</v>
      </c>
      <c r="I54" s="3">
        <v>-202.51</v>
      </c>
      <c r="J54" s="3"/>
    </row>
    <row r="55" spans="1:10" ht="15" customHeight="1" x14ac:dyDescent="0.25">
      <c r="A55" s="2" t="s">
        <v>52</v>
      </c>
      <c r="B55" s="2" t="s">
        <v>313</v>
      </c>
      <c r="C55" s="2" t="s">
        <v>294</v>
      </c>
      <c r="D55" s="2" t="s">
        <v>295</v>
      </c>
      <c r="E55" s="2" t="s">
        <v>145</v>
      </c>
      <c r="F55" s="2"/>
      <c r="G55" s="4">
        <v>2</v>
      </c>
      <c r="H55" s="3">
        <v>29.02</v>
      </c>
      <c r="I55" s="3">
        <v>-58.04</v>
      </c>
      <c r="J55" s="3"/>
    </row>
    <row r="56" spans="1:10" ht="15" customHeight="1" x14ac:dyDescent="0.25">
      <c r="A56" s="2" t="s">
        <v>52</v>
      </c>
      <c r="B56" s="2" t="s">
        <v>313</v>
      </c>
      <c r="C56" s="2" t="s">
        <v>294</v>
      </c>
      <c r="D56" s="2" t="s">
        <v>295</v>
      </c>
      <c r="E56" s="2" t="s">
        <v>145</v>
      </c>
      <c r="F56" s="2"/>
      <c r="G56" s="4">
        <v>1.268435561</v>
      </c>
      <c r="H56" s="3">
        <v>29.02</v>
      </c>
      <c r="I56" s="3">
        <v>-36.81</v>
      </c>
      <c r="J56" s="3">
        <v>0.15</v>
      </c>
    </row>
    <row r="57" spans="1:10" ht="15" customHeight="1" x14ac:dyDescent="0.25">
      <c r="A57" s="2" t="s">
        <v>52</v>
      </c>
      <c r="B57" s="2" t="s">
        <v>313</v>
      </c>
      <c r="C57" s="2" t="s">
        <v>294</v>
      </c>
      <c r="D57" s="2" t="s">
        <v>295</v>
      </c>
      <c r="E57" s="2" t="s">
        <v>129</v>
      </c>
      <c r="F57" s="2"/>
      <c r="G57" s="4">
        <v>4</v>
      </c>
      <c r="H57" s="3">
        <v>50.33</v>
      </c>
      <c r="I57" s="3">
        <v>-201.32</v>
      </c>
      <c r="J57" s="3">
        <v>0.32</v>
      </c>
    </row>
    <row r="58" spans="1:10" ht="15" customHeight="1" x14ac:dyDescent="0.25">
      <c r="A58" s="2" t="s">
        <v>52</v>
      </c>
      <c r="B58" s="2" t="s">
        <v>313</v>
      </c>
      <c r="C58" s="2" t="s">
        <v>294</v>
      </c>
      <c r="D58" s="2" t="s">
        <v>295</v>
      </c>
      <c r="E58" s="2" t="s">
        <v>119</v>
      </c>
      <c r="F58" s="2"/>
      <c r="G58" s="4">
        <v>1</v>
      </c>
      <c r="H58" s="3">
        <v>100.31</v>
      </c>
      <c r="I58" s="3">
        <v>-100.31</v>
      </c>
      <c r="J58" s="3"/>
    </row>
    <row r="59" spans="1:10" ht="15" customHeight="1" x14ac:dyDescent="0.25">
      <c r="A59" s="2" t="s">
        <v>52</v>
      </c>
      <c r="B59" s="2" t="s">
        <v>313</v>
      </c>
      <c r="C59" s="2" t="s">
        <v>294</v>
      </c>
      <c r="D59" s="2" t="s">
        <v>295</v>
      </c>
      <c r="E59" s="2" t="s">
        <v>119</v>
      </c>
      <c r="F59" s="2"/>
      <c r="G59" s="4">
        <v>1.79134861</v>
      </c>
      <c r="H59" s="3">
        <v>100.31</v>
      </c>
      <c r="I59" s="3">
        <v>-179.69</v>
      </c>
      <c r="J59" s="3"/>
    </row>
    <row r="60" spans="1:10" ht="15" customHeight="1" x14ac:dyDescent="0.25">
      <c r="A60" s="2" t="s">
        <v>52</v>
      </c>
      <c r="B60" s="2" t="s">
        <v>313</v>
      </c>
      <c r="C60" s="2" t="s">
        <v>294</v>
      </c>
      <c r="D60" s="2" t="s">
        <v>295</v>
      </c>
      <c r="E60" s="2" t="s">
        <v>115</v>
      </c>
      <c r="F60" s="2"/>
      <c r="G60" s="4">
        <v>2</v>
      </c>
      <c r="H60" s="3">
        <v>110.05</v>
      </c>
      <c r="I60" s="3">
        <v>-220.1</v>
      </c>
      <c r="J60" s="3"/>
    </row>
    <row r="61" spans="1:10" ht="15" customHeight="1" x14ac:dyDescent="0.25">
      <c r="A61" s="2" t="s">
        <v>52</v>
      </c>
      <c r="B61" s="2" t="s">
        <v>313</v>
      </c>
      <c r="C61" s="2" t="s">
        <v>294</v>
      </c>
      <c r="D61" s="2" t="s">
        <v>295</v>
      </c>
      <c r="E61" s="2" t="s">
        <v>115</v>
      </c>
      <c r="F61" s="2"/>
      <c r="G61" s="4">
        <v>1.45297856</v>
      </c>
      <c r="H61" s="3">
        <v>110.05</v>
      </c>
      <c r="I61" s="3">
        <v>-159.9</v>
      </c>
      <c r="J61" s="3"/>
    </row>
    <row r="62" spans="1:10" ht="15" customHeight="1" x14ac:dyDescent="0.25">
      <c r="A62" s="2" t="s">
        <v>52</v>
      </c>
      <c r="B62" s="2" t="s">
        <v>314</v>
      </c>
      <c r="C62" s="2" t="s">
        <v>294</v>
      </c>
      <c r="D62" s="2" t="s">
        <v>295</v>
      </c>
      <c r="E62" s="2" t="s">
        <v>134</v>
      </c>
      <c r="F62" s="2"/>
      <c r="G62" s="4">
        <v>35</v>
      </c>
      <c r="H62" s="3">
        <v>25.65</v>
      </c>
      <c r="I62" s="3">
        <v>-897.58</v>
      </c>
      <c r="J62" s="3"/>
    </row>
    <row r="63" spans="1:10" ht="15" customHeight="1" x14ac:dyDescent="0.25">
      <c r="A63" s="2" t="s">
        <v>52</v>
      </c>
      <c r="B63" s="2" t="s">
        <v>314</v>
      </c>
      <c r="C63" s="2" t="s">
        <v>294</v>
      </c>
      <c r="D63" s="2" t="s">
        <v>295</v>
      </c>
      <c r="E63" s="2" t="s">
        <v>134</v>
      </c>
      <c r="F63" s="2"/>
      <c r="G63" s="4">
        <v>1.55663872</v>
      </c>
      <c r="H63" s="3">
        <v>25.65</v>
      </c>
      <c r="I63" s="3">
        <v>-39.92</v>
      </c>
      <c r="J63" s="3">
        <v>1.5</v>
      </c>
    </row>
    <row r="64" spans="1:10" ht="15" customHeight="1" x14ac:dyDescent="0.25">
      <c r="A64" s="2" t="s">
        <v>52</v>
      </c>
      <c r="B64" s="2" t="s">
        <v>314</v>
      </c>
      <c r="C64" s="2" t="s">
        <v>294</v>
      </c>
      <c r="D64" s="2" t="s">
        <v>295</v>
      </c>
      <c r="E64" s="2" t="s">
        <v>136</v>
      </c>
      <c r="F64" s="2"/>
      <c r="G64" s="4">
        <v>17</v>
      </c>
      <c r="H64" s="3">
        <v>25.09</v>
      </c>
      <c r="I64" s="3">
        <v>-426.53</v>
      </c>
      <c r="J64" s="3"/>
    </row>
    <row r="65" spans="1:10" ht="15" customHeight="1" x14ac:dyDescent="0.25">
      <c r="A65" s="2" t="s">
        <v>52</v>
      </c>
      <c r="B65" s="2" t="s">
        <v>314</v>
      </c>
      <c r="C65" s="2" t="s">
        <v>294</v>
      </c>
      <c r="D65" s="2" t="s">
        <v>295</v>
      </c>
      <c r="E65" s="2" t="s">
        <v>136</v>
      </c>
      <c r="F65" s="2"/>
      <c r="G65" s="4">
        <v>1.6628271240000001</v>
      </c>
      <c r="H65" s="3">
        <v>25.09</v>
      </c>
      <c r="I65" s="3">
        <v>-41.72</v>
      </c>
      <c r="J65" s="3">
        <v>0.75</v>
      </c>
    </row>
    <row r="66" spans="1:10" ht="15" customHeight="1" x14ac:dyDescent="0.25">
      <c r="A66" s="2" t="s">
        <v>52</v>
      </c>
      <c r="B66" s="2" t="s">
        <v>315</v>
      </c>
      <c r="C66" s="2" t="s">
        <v>294</v>
      </c>
      <c r="D66" s="2" t="s">
        <v>295</v>
      </c>
      <c r="E66" s="2" t="s">
        <v>121</v>
      </c>
      <c r="F66" s="2"/>
      <c r="G66" s="4">
        <v>21</v>
      </c>
      <c r="H66" s="3">
        <v>12.96</v>
      </c>
      <c r="I66" s="3">
        <v>-272.16000000000003</v>
      </c>
      <c r="J66" s="3"/>
    </row>
    <row r="67" spans="1:10" ht="15" customHeight="1" x14ac:dyDescent="0.25">
      <c r="A67" s="2" t="s">
        <v>52</v>
      </c>
      <c r="B67" s="2" t="s">
        <v>315</v>
      </c>
      <c r="C67" s="2" t="s">
        <v>294</v>
      </c>
      <c r="D67" s="2" t="s">
        <v>295</v>
      </c>
      <c r="E67" s="2" t="s">
        <v>121</v>
      </c>
      <c r="F67" s="2"/>
      <c r="G67" s="4">
        <v>1.34105973</v>
      </c>
      <c r="H67" s="3">
        <v>12.96</v>
      </c>
      <c r="I67" s="3">
        <v>-17.38</v>
      </c>
      <c r="J67" s="3">
        <v>0.46</v>
      </c>
    </row>
    <row r="68" spans="1:10" ht="15" customHeight="1" x14ac:dyDescent="0.25">
      <c r="A68" s="2" t="s">
        <v>52</v>
      </c>
      <c r="B68" s="2" t="s">
        <v>316</v>
      </c>
      <c r="C68" s="2" t="s">
        <v>294</v>
      </c>
      <c r="D68" s="2" t="s">
        <v>295</v>
      </c>
      <c r="E68" s="2" t="s">
        <v>138</v>
      </c>
      <c r="F68" s="2"/>
      <c r="G68" s="4">
        <v>4</v>
      </c>
      <c r="H68" s="3">
        <v>30.46</v>
      </c>
      <c r="I68" s="3">
        <v>-121.82</v>
      </c>
      <c r="J68" s="3"/>
    </row>
    <row r="69" spans="1:10" ht="15" customHeight="1" x14ac:dyDescent="0.25">
      <c r="A69" s="2" t="s">
        <v>52</v>
      </c>
      <c r="B69" s="2" t="s">
        <v>316</v>
      </c>
      <c r="C69" s="2" t="s">
        <v>294</v>
      </c>
      <c r="D69" s="2" t="s">
        <v>295</v>
      </c>
      <c r="E69" s="2" t="s">
        <v>138</v>
      </c>
      <c r="F69" s="2"/>
      <c r="G69" s="4">
        <v>1.5731406990000001</v>
      </c>
      <c r="H69" s="3">
        <v>30.46</v>
      </c>
      <c r="I69" s="3">
        <v>-47.91</v>
      </c>
      <c r="J69" s="3">
        <v>0.27</v>
      </c>
    </row>
    <row r="70" spans="1:10" ht="15" customHeight="1" x14ac:dyDescent="0.25">
      <c r="A70" s="2" t="s">
        <v>52</v>
      </c>
      <c r="B70" s="2" t="s">
        <v>316</v>
      </c>
      <c r="C70" s="2" t="s">
        <v>294</v>
      </c>
      <c r="D70" s="2" t="s">
        <v>295</v>
      </c>
      <c r="E70" s="2" t="s">
        <v>147</v>
      </c>
      <c r="F70" s="2"/>
      <c r="G70" s="4">
        <v>1.3229356649999999</v>
      </c>
      <c r="H70" s="3">
        <v>128.30000000000001</v>
      </c>
      <c r="I70" s="3">
        <v>-169.73</v>
      </c>
      <c r="J70" s="3">
        <v>0.27</v>
      </c>
    </row>
    <row r="71" spans="1:10" ht="15" customHeight="1" x14ac:dyDescent="0.25">
      <c r="A71" s="2" t="s">
        <v>52</v>
      </c>
      <c r="B71" s="2" t="s">
        <v>316</v>
      </c>
      <c r="C71" s="2" t="s">
        <v>294</v>
      </c>
      <c r="D71" s="2" t="s">
        <v>295</v>
      </c>
      <c r="E71" s="2" t="s">
        <v>149</v>
      </c>
      <c r="F71" s="2"/>
      <c r="G71" s="4">
        <v>2</v>
      </c>
      <c r="H71" s="3">
        <v>45.85</v>
      </c>
      <c r="I71" s="3">
        <v>-91.7</v>
      </c>
      <c r="J71" s="3"/>
    </row>
    <row r="72" spans="1:10" ht="15" customHeight="1" x14ac:dyDescent="0.25">
      <c r="A72" s="2" t="s">
        <v>52</v>
      </c>
      <c r="B72" s="2" t="s">
        <v>316</v>
      </c>
      <c r="C72" s="2" t="s">
        <v>294</v>
      </c>
      <c r="D72" s="2" t="s">
        <v>295</v>
      </c>
      <c r="E72" s="2" t="s">
        <v>149</v>
      </c>
      <c r="F72" s="2"/>
      <c r="G72" s="4">
        <v>1.7018872780000001</v>
      </c>
      <c r="H72" s="3">
        <v>45.85</v>
      </c>
      <c r="I72" s="3">
        <v>-78.03</v>
      </c>
      <c r="J72" s="3">
        <v>0.27</v>
      </c>
    </row>
    <row r="73" spans="1:10" ht="15" customHeight="1" x14ac:dyDescent="0.25">
      <c r="A73" s="2" t="s">
        <v>54</v>
      </c>
      <c r="B73" s="2" t="s">
        <v>317</v>
      </c>
      <c r="C73" s="2" t="s">
        <v>294</v>
      </c>
      <c r="D73" s="2" t="s">
        <v>295</v>
      </c>
      <c r="E73" s="2" t="s">
        <v>127</v>
      </c>
      <c r="F73" s="2"/>
      <c r="G73" s="4">
        <v>18</v>
      </c>
      <c r="H73" s="3">
        <v>25.38</v>
      </c>
      <c r="I73" s="3">
        <v>-456.84</v>
      </c>
      <c r="J73" s="3"/>
    </row>
    <row r="74" spans="1:10" ht="15" customHeight="1" x14ac:dyDescent="0.25">
      <c r="A74" s="2" t="s">
        <v>54</v>
      </c>
      <c r="B74" s="2" t="s">
        <v>317</v>
      </c>
      <c r="C74" s="2" t="s">
        <v>294</v>
      </c>
      <c r="D74" s="2" t="s">
        <v>295</v>
      </c>
      <c r="E74" s="2" t="s">
        <v>127</v>
      </c>
      <c r="F74" s="2"/>
      <c r="G74" s="4">
        <v>1.227738376</v>
      </c>
      <c r="H74" s="3">
        <v>25.38</v>
      </c>
      <c r="I74" s="3">
        <v>-31.16</v>
      </c>
      <c r="J74" s="3"/>
    </row>
    <row r="75" spans="1:10" ht="15" customHeight="1" x14ac:dyDescent="0.25">
      <c r="A75" s="2" t="s">
        <v>54</v>
      </c>
      <c r="B75" s="2" t="s">
        <v>317</v>
      </c>
      <c r="C75" s="2" t="s">
        <v>294</v>
      </c>
      <c r="D75" s="2" t="s">
        <v>295</v>
      </c>
      <c r="E75" s="2" t="s">
        <v>143</v>
      </c>
      <c r="F75" s="2"/>
      <c r="G75" s="4">
        <v>22</v>
      </c>
      <c r="H75" s="3">
        <v>50.7</v>
      </c>
      <c r="I75" s="3">
        <v>-1115.33</v>
      </c>
      <c r="J75" s="3"/>
    </row>
    <row r="76" spans="1:10" ht="15" customHeight="1" x14ac:dyDescent="0.25">
      <c r="A76" s="2" t="s">
        <v>54</v>
      </c>
      <c r="B76" s="2" t="s">
        <v>317</v>
      </c>
      <c r="C76" s="2" t="s">
        <v>294</v>
      </c>
      <c r="D76" s="2" t="s">
        <v>295</v>
      </c>
      <c r="E76" s="2" t="s">
        <v>143</v>
      </c>
      <c r="F76" s="2"/>
      <c r="G76" s="4">
        <v>1.0610137120000001</v>
      </c>
      <c r="H76" s="3">
        <v>50.7</v>
      </c>
      <c r="I76" s="3">
        <v>-53.79</v>
      </c>
      <c r="J76" s="3">
        <v>1.88</v>
      </c>
    </row>
    <row r="77" spans="1:10" ht="15" customHeight="1" x14ac:dyDescent="0.25">
      <c r="A77" s="2" t="s">
        <v>54</v>
      </c>
      <c r="B77" s="2" t="s">
        <v>317</v>
      </c>
      <c r="C77" s="2" t="s">
        <v>294</v>
      </c>
      <c r="D77" s="2" t="s">
        <v>295</v>
      </c>
      <c r="E77" s="2" t="s">
        <v>129</v>
      </c>
      <c r="F77" s="2"/>
      <c r="G77" s="4">
        <v>19</v>
      </c>
      <c r="H77" s="3">
        <v>50.35</v>
      </c>
      <c r="I77" s="3">
        <v>-956.65</v>
      </c>
      <c r="J77" s="3">
        <v>1.55</v>
      </c>
    </row>
    <row r="78" spans="1:10" ht="15" customHeight="1" x14ac:dyDescent="0.25">
      <c r="A78" s="2" t="s">
        <v>54</v>
      </c>
      <c r="B78" s="2" t="s">
        <v>317</v>
      </c>
      <c r="C78" s="2" t="s">
        <v>294</v>
      </c>
      <c r="D78" s="2" t="s">
        <v>295</v>
      </c>
      <c r="E78" s="2" t="s">
        <v>119</v>
      </c>
      <c r="F78" s="2"/>
      <c r="G78" s="4">
        <v>13</v>
      </c>
      <c r="H78" s="3">
        <v>100.3</v>
      </c>
      <c r="I78" s="3">
        <v>-1303.8599999999999</v>
      </c>
      <c r="J78" s="3"/>
    </row>
    <row r="79" spans="1:10" ht="15" customHeight="1" x14ac:dyDescent="0.25">
      <c r="A79" s="2" t="s">
        <v>54</v>
      </c>
      <c r="B79" s="2" t="s">
        <v>317</v>
      </c>
      <c r="C79" s="2" t="s">
        <v>294</v>
      </c>
      <c r="D79" s="2" t="s">
        <v>295</v>
      </c>
      <c r="E79" s="2" t="s">
        <v>119</v>
      </c>
      <c r="F79" s="2"/>
      <c r="G79" s="4">
        <v>1.58668912</v>
      </c>
      <c r="H79" s="3">
        <v>100.3</v>
      </c>
      <c r="I79" s="3">
        <v>-159.13999999999999</v>
      </c>
      <c r="J79" s="3"/>
    </row>
    <row r="80" spans="1:10" ht="15" customHeight="1" x14ac:dyDescent="0.25">
      <c r="A80" s="2" t="s">
        <v>54</v>
      </c>
      <c r="B80" s="2" t="s">
        <v>317</v>
      </c>
      <c r="C80" s="2" t="s">
        <v>294</v>
      </c>
      <c r="D80" s="2" t="s">
        <v>295</v>
      </c>
      <c r="E80" s="2" t="s">
        <v>115</v>
      </c>
      <c r="F80" s="2"/>
      <c r="G80" s="4">
        <v>7</v>
      </c>
      <c r="H80" s="3">
        <v>110.09</v>
      </c>
      <c r="I80" s="3">
        <v>-770.61</v>
      </c>
      <c r="J80" s="3"/>
    </row>
    <row r="81" spans="1:10" ht="15" customHeight="1" x14ac:dyDescent="0.25">
      <c r="A81" s="2" t="s">
        <v>54</v>
      </c>
      <c r="B81" s="2" t="s">
        <v>317</v>
      </c>
      <c r="C81" s="2" t="s">
        <v>294</v>
      </c>
      <c r="D81" s="2" t="s">
        <v>295</v>
      </c>
      <c r="E81" s="2" t="s">
        <v>115</v>
      </c>
      <c r="F81" s="2"/>
      <c r="G81" s="4">
        <v>1.865709603</v>
      </c>
      <c r="H81" s="3">
        <v>110.09</v>
      </c>
      <c r="I81" s="3">
        <v>-205.39</v>
      </c>
      <c r="J81" s="3"/>
    </row>
    <row r="82" spans="1:10" ht="15" customHeight="1" x14ac:dyDescent="0.25">
      <c r="A82" s="2" t="s">
        <v>54</v>
      </c>
      <c r="B82" s="2" t="s">
        <v>318</v>
      </c>
      <c r="C82" s="2" t="s">
        <v>294</v>
      </c>
      <c r="D82" s="2" t="s">
        <v>295</v>
      </c>
      <c r="E82" s="2" t="s">
        <v>132</v>
      </c>
      <c r="F82" s="2"/>
      <c r="G82" s="4">
        <v>8</v>
      </c>
      <c r="H82" s="3">
        <v>15.54</v>
      </c>
      <c r="I82" s="3">
        <v>-124.32</v>
      </c>
      <c r="J82" s="3">
        <v>0.2</v>
      </c>
    </row>
    <row r="83" spans="1:10" ht="15" customHeight="1" x14ac:dyDescent="0.25">
      <c r="A83" s="2" t="s">
        <v>54</v>
      </c>
      <c r="B83" s="2" t="s">
        <v>318</v>
      </c>
      <c r="C83" s="2" t="s">
        <v>294</v>
      </c>
      <c r="D83" s="2" t="s">
        <v>295</v>
      </c>
      <c r="E83" s="2" t="s">
        <v>145</v>
      </c>
      <c r="F83" s="2"/>
      <c r="G83" s="4">
        <v>0.280358047</v>
      </c>
      <c r="H83" s="3">
        <v>23.68</v>
      </c>
      <c r="I83" s="3">
        <v>-6.64</v>
      </c>
      <c r="J83" s="3">
        <v>0.01</v>
      </c>
    </row>
    <row r="84" spans="1:10" ht="15" customHeight="1" x14ac:dyDescent="0.25">
      <c r="A84" s="2" t="s">
        <v>54</v>
      </c>
      <c r="B84" s="2" t="s">
        <v>319</v>
      </c>
      <c r="C84" s="2" t="s">
        <v>294</v>
      </c>
      <c r="D84" s="2" t="s">
        <v>295</v>
      </c>
      <c r="E84" s="2" t="s">
        <v>156</v>
      </c>
      <c r="F84" s="2"/>
      <c r="G84" s="4">
        <v>14</v>
      </c>
      <c r="H84" s="3">
        <v>22.52</v>
      </c>
      <c r="I84" s="3">
        <v>-315.20999999999998</v>
      </c>
      <c r="J84" s="3"/>
    </row>
    <row r="85" spans="1:10" ht="15" customHeight="1" x14ac:dyDescent="0.25">
      <c r="A85" s="2" t="s">
        <v>54</v>
      </c>
      <c r="B85" s="2" t="s">
        <v>319</v>
      </c>
      <c r="C85" s="2" t="s">
        <v>294</v>
      </c>
      <c r="D85" s="2" t="s">
        <v>295</v>
      </c>
      <c r="E85" s="2" t="s">
        <v>156</v>
      </c>
      <c r="F85" s="2"/>
      <c r="G85" s="4">
        <v>1.520319786</v>
      </c>
      <c r="H85" s="3">
        <v>22.52</v>
      </c>
      <c r="I85" s="3">
        <v>-34.229999999999997</v>
      </c>
      <c r="J85" s="3">
        <v>0.56000000000000005</v>
      </c>
    </row>
    <row r="86" spans="1:10" ht="15" customHeight="1" x14ac:dyDescent="0.25">
      <c r="A86" s="2" t="s">
        <v>54</v>
      </c>
      <c r="B86" s="2" t="s">
        <v>320</v>
      </c>
      <c r="C86" s="2" t="s">
        <v>294</v>
      </c>
      <c r="D86" s="2" t="s">
        <v>295</v>
      </c>
      <c r="E86" s="2" t="s">
        <v>121</v>
      </c>
      <c r="F86" s="2"/>
      <c r="G86" s="4">
        <v>19</v>
      </c>
      <c r="H86" s="3">
        <v>12.16</v>
      </c>
      <c r="I86" s="3">
        <v>-231.01</v>
      </c>
      <c r="J86" s="3"/>
    </row>
    <row r="87" spans="1:10" ht="15" customHeight="1" x14ac:dyDescent="0.25">
      <c r="A87" s="2" t="s">
        <v>54</v>
      </c>
      <c r="B87" s="2" t="s">
        <v>320</v>
      </c>
      <c r="C87" s="2" t="s">
        <v>294</v>
      </c>
      <c r="D87" s="2" t="s">
        <v>295</v>
      </c>
      <c r="E87" s="2" t="s">
        <v>121</v>
      </c>
      <c r="F87" s="2"/>
      <c r="G87" s="4">
        <v>1.5290092280000001</v>
      </c>
      <c r="H87" s="3">
        <v>12.16</v>
      </c>
      <c r="I87" s="3">
        <v>-18.59</v>
      </c>
      <c r="J87" s="3">
        <v>0.4</v>
      </c>
    </row>
    <row r="88" spans="1:10" ht="15" customHeight="1" x14ac:dyDescent="0.25">
      <c r="A88" s="2" t="s">
        <v>54</v>
      </c>
      <c r="B88" s="2" t="s">
        <v>320</v>
      </c>
      <c r="C88" s="2" t="s">
        <v>294</v>
      </c>
      <c r="D88" s="2" t="s">
        <v>295</v>
      </c>
      <c r="E88" s="2" t="s">
        <v>152</v>
      </c>
      <c r="F88" s="2"/>
      <c r="G88" s="4">
        <v>11</v>
      </c>
      <c r="H88" s="3">
        <v>23</v>
      </c>
      <c r="I88" s="3">
        <v>-253</v>
      </c>
      <c r="J88" s="3">
        <v>0.41</v>
      </c>
    </row>
    <row r="89" spans="1:10" ht="15" customHeight="1" x14ac:dyDescent="0.25">
      <c r="A89" s="2" t="s">
        <v>54</v>
      </c>
      <c r="B89" s="2" t="s">
        <v>320</v>
      </c>
      <c r="C89" s="2" t="s">
        <v>294</v>
      </c>
      <c r="D89" s="2" t="s">
        <v>295</v>
      </c>
      <c r="E89" s="2" t="s">
        <v>154</v>
      </c>
      <c r="F89" s="2"/>
      <c r="G89" s="4">
        <v>1</v>
      </c>
      <c r="H89" s="3">
        <v>61.86</v>
      </c>
      <c r="I89" s="3">
        <v>-61.86</v>
      </c>
      <c r="J89" s="3"/>
    </row>
    <row r="90" spans="1:10" ht="15" customHeight="1" x14ac:dyDescent="0.25">
      <c r="A90" s="2" t="s">
        <v>54</v>
      </c>
      <c r="B90" s="2" t="s">
        <v>320</v>
      </c>
      <c r="C90" s="2" t="s">
        <v>294</v>
      </c>
      <c r="D90" s="2" t="s">
        <v>295</v>
      </c>
      <c r="E90" s="2" t="s">
        <v>154</v>
      </c>
      <c r="F90" s="2"/>
      <c r="G90" s="4">
        <v>1.7437819059999999</v>
      </c>
      <c r="H90" s="3">
        <v>61.86</v>
      </c>
      <c r="I90" s="3">
        <v>-107.87</v>
      </c>
      <c r="J90" s="3">
        <v>0.27</v>
      </c>
    </row>
    <row r="91" spans="1:10" ht="15" customHeight="1" x14ac:dyDescent="0.25">
      <c r="A91" s="2" t="s">
        <v>56</v>
      </c>
      <c r="B91" s="2" t="s">
        <v>321</v>
      </c>
      <c r="C91" s="2" t="s">
        <v>294</v>
      </c>
      <c r="D91" s="2" t="s">
        <v>295</v>
      </c>
      <c r="E91" s="2" t="s">
        <v>134</v>
      </c>
      <c r="F91" s="2"/>
      <c r="G91" s="4">
        <v>6</v>
      </c>
      <c r="H91" s="3">
        <v>25.6</v>
      </c>
      <c r="I91" s="3">
        <v>-153.6</v>
      </c>
      <c r="J91" s="3"/>
    </row>
    <row r="92" spans="1:10" ht="15" customHeight="1" x14ac:dyDescent="0.25">
      <c r="A92" s="2" t="s">
        <v>56</v>
      </c>
      <c r="B92" s="2" t="s">
        <v>321</v>
      </c>
      <c r="C92" s="2" t="s">
        <v>294</v>
      </c>
      <c r="D92" s="2" t="s">
        <v>295</v>
      </c>
      <c r="E92" s="2" t="s">
        <v>134</v>
      </c>
      <c r="F92" s="2"/>
      <c r="G92" s="4">
        <v>1.109388</v>
      </c>
      <c r="H92" s="3">
        <v>25.6</v>
      </c>
      <c r="I92" s="3">
        <v>-28.4</v>
      </c>
      <c r="J92" s="3"/>
    </row>
    <row r="93" spans="1:10" ht="15" customHeight="1" x14ac:dyDescent="0.25">
      <c r="A93" s="2" t="s">
        <v>58</v>
      </c>
      <c r="B93" s="2" t="s">
        <v>322</v>
      </c>
      <c r="C93" s="2" t="s">
        <v>294</v>
      </c>
      <c r="D93" s="2" t="s">
        <v>295</v>
      </c>
      <c r="E93" s="2" t="s">
        <v>140</v>
      </c>
      <c r="F93" s="2"/>
      <c r="G93" s="4">
        <v>21</v>
      </c>
      <c r="H93" s="3">
        <v>12.3</v>
      </c>
      <c r="I93" s="3">
        <v>-258.29000000000002</v>
      </c>
      <c r="J93" s="3"/>
    </row>
    <row r="94" spans="1:10" ht="15" customHeight="1" x14ac:dyDescent="0.25">
      <c r="A94" s="2" t="s">
        <v>58</v>
      </c>
      <c r="B94" s="2" t="s">
        <v>322</v>
      </c>
      <c r="C94" s="2" t="s">
        <v>294</v>
      </c>
      <c r="D94" s="2" t="s">
        <v>295</v>
      </c>
      <c r="E94" s="2" t="s">
        <v>140</v>
      </c>
      <c r="F94" s="2"/>
      <c r="G94" s="4">
        <v>1.485402082</v>
      </c>
      <c r="H94" s="3">
        <v>12.3</v>
      </c>
      <c r="I94" s="3">
        <v>-18.27</v>
      </c>
      <c r="J94" s="3">
        <v>0.44</v>
      </c>
    </row>
    <row r="95" spans="1:10" ht="15" customHeight="1" x14ac:dyDescent="0.25">
      <c r="A95" s="2" t="s">
        <v>58</v>
      </c>
      <c r="B95" s="2" t="s">
        <v>322</v>
      </c>
      <c r="C95" s="2" t="s">
        <v>294</v>
      </c>
      <c r="D95" s="2" t="s">
        <v>295</v>
      </c>
      <c r="E95" s="2" t="s">
        <v>158</v>
      </c>
      <c r="F95" s="2"/>
      <c r="G95" s="4">
        <v>9</v>
      </c>
      <c r="H95" s="3">
        <v>20.22</v>
      </c>
      <c r="I95" s="3">
        <v>-181.98</v>
      </c>
      <c r="J95" s="3">
        <v>0.28999999999999998</v>
      </c>
    </row>
    <row r="96" spans="1:10" ht="15" customHeight="1" x14ac:dyDescent="0.25">
      <c r="A96" s="2" t="s">
        <v>58</v>
      </c>
      <c r="B96" s="2" t="s">
        <v>322</v>
      </c>
      <c r="C96" s="2" t="s">
        <v>294</v>
      </c>
      <c r="D96" s="2" t="s">
        <v>295</v>
      </c>
      <c r="E96" s="2" t="s">
        <v>127</v>
      </c>
      <c r="F96" s="2"/>
      <c r="G96" s="4">
        <v>4</v>
      </c>
      <c r="H96" s="3">
        <v>25.36</v>
      </c>
      <c r="I96" s="3">
        <v>-101.43</v>
      </c>
      <c r="J96" s="3"/>
    </row>
    <row r="97" spans="1:10" ht="15" customHeight="1" x14ac:dyDescent="0.25">
      <c r="A97" s="2" t="s">
        <v>58</v>
      </c>
      <c r="B97" s="2" t="s">
        <v>322</v>
      </c>
      <c r="C97" s="2" t="s">
        <v>294</v>
      </c>
      <c r="D97" s="2" t="s">
        <v>295</v>
      </c>
      <c r="E97" s="2" t="s">
        <v>127</v>
      </c>
      <c r="F97" s="2"/>
      <c r="G97" s="4">
        <v>1.4815603500000001</v>
      </c>
      <c r="H97" s="3">
        <v>25.36</v>
      </c>
      <c r="I97" s="3">
        <v>-37.57</v>
      </c>
      <c r="J97" s="3"/>
    </row>
    <row r="98" spans="1:10" ht="15" customHeight="1" x14ac:dyDescent="0.25">
      <c r="A98" s="2" t="s">
        <v>58</v>
      </c>
      <c r="B98" s="2" t="s">
        <v>322</v>
      </c>
      <c r="C98" s="2" t="s">
        <v>294</v>
      </c>
      <c r="D98" s="2" t="s">
        <v>295</v>
      </c>
      <c r="E98" s="2" t="s">
        <v>132</v>
      </c>
      <c r="F98" s="2"/>
      <c r="G98" s="4">
        <v>9</v>
      </c>
      <c r="H98" s="3">
        <v>15.16</v>
      </c>
      <c r="I98" s="3">
        <v>-136.44</v>
      </c>
      <c r="J98" s="3">
        <v>0.22</v>
      </c>
    </row>
    <row r="99" spans="1:10" ht="15" customHeight="1" x14ac:dyDescent="0.25">
      <c r="A99" s="2" t="s">
        <v>58</v>
      </c>
      <c r="B99" s="2" t="s">
        <v>322</v>
      </c>
      <c r="C99" s="2" t="s">
        <v>294</v>
      </c>
      <c r="D99" s="2" t="s">
        <v>295</v>
      </c>
      <c r="E99" s="2" t="s">
        <v>143</v>
      </c>
      <c r="F99" s="2"/>
      <c r="G99" s="4">
        <v>1</v>
      </c>
      <c r="H99" s="3">
        <v>50.66</v>
      </c>
      <c r="I99" s="3">
        <v>-50.66</v>
      </c>
      <c r="J99" s="3"/>
    </row>
    <row r="100" spans="1:10" ht="15" customHeight="1" x14ac:dyDescent="0.25">
      <c r="A100" s="2" t="s">
        <v>58</v>
      </c>
      <c r="B100" s="2" t="s">
        <v>322</v>
      </c>
      <c r="C100" s="2" t="s">
        <v>294</v>
      </c>
      <c r="D100" s="2" t="s">
        <v>295</v>
      </c>
      <c r="E100" s="2" t="s">
        <v>143</v>
      </c>
      <c r="F100" s="2"/>
      <c r="G100" s="4">
        <v>1.739542412</v>
      </c>
      <c r="H100" s="3">
        <v>50.66</v>
      </c>
      <c r="I100" s="3">
        <v>-88.12</v>
      </c>
      <c r="J100" s="3">
        <v>0.22</v>
      </c>
    </row>
    <row r="101" spans="1:10" ht="15" customHeight="1" x14ac:dyDescent="0.25">
      <c r="A101" s="2" t="s">
        <v>58</v>
      </c>
      <c r="B101" s="2" t="s">
        <v>322</v>
      </c>
      <c r="C101" s="2" t="s">
        <v>294</v>
      </c>
      <c r="D101" s="2" t="s">
        <v>295</v>
      </c>
      <c r="E101" s="2" t="s">
        <v>160</v>
      </c>
      <c r="F101" s="2"/>
      <c r="G101" s="4">
        <v>9</v>
      </c>
      <c r="H101" s="3">
        <v>25.16</v>
      </c>
      <c r="I101" s="3">
        <v>-226.44</v>
      </c>
      <c r="J101" s="3">
        <v>0.36</v>
      </c>
    </row>
    <row r="102" spans="1:10" ht="15" customHeight="1" x14ac:dyDescent="0.25">
      <c r="A102" s="2" t="s">
        <v>58</v>
      </c>
      <c r="B102" s="2" t="s">
        <v>322</v>
      </c>
      <c r="C102" s="2" t="s">
        <v>294</v>
      </c>
      <c r="D102" s="2" t="s">
        <v>295</v>
      </c>
      <c r="E102" s="2" t="s">
        <v>152</v>
      </c>
      <c r="F102" s="2"/>
      <c r="G102" s="4">
        <v>11</v>
      </c>
      <c r="H102" s="3">
        <v>24.34</v>
      </c>
      <c r="I102" s="3">
        <v>-267.74</v>
      </c>
      <c r="J102" s="3">
        <v>0.43</v>
      </c>
    </row>
    <row r="103" spans="1:10" ht="15" customHeight="1" x14ac:dyDescent="0.25">
      <c r="A103" s="2" t="s">
        <v>58</v>
      </c>
      <c r="B103" s="2" t="s">
        <v>322</v>
      </c>
      <c r="C103" s="2" t="s">
        <v>294</v>
      </c>
      <c r="D103" s="2" t="s">
        <v>295</v>
      </c>
      <c r="E103" s="2" t="s">
        <v>145</v>
      </c>
      <c r="F103" s="2"/>
      <c r="G103" s="4">
        <v>10</v>
      </c>
      <c r="H103" s="3">
        <v>24.07</v>
      </c>
      <c r="I103" s="3">
        <v>-240.7</v>
      </c>
      <c r="J103" s="3"/>
    </row>
    <row r="104" spans="1:10" ht="15" customHeight="1" x14ac:dyDescent="0.25">
      <c r="A104" s="2" t="s">
        <v>58</v>
      </c>
      <c r="B104" s="2" t="s">
        <v>322</v>
      </c>
      <c r="C104" s="2" t="s">
        <v>294</v>
      </c>
      <c r="D104" s="2" t="s">
        <v>295</v>
      </c>
      <c r="E104" s="2" t="s">
        <v>145</v>
      </c>
      <c r="F104" s="2"/>
      <c r="G104" s="4">
        <v>1.489821354</v>
      </c>
      <c r="H104" s="3">
        <v>24.07</v>
      </c>
      <c r="I104" s="3">
        <v>-35.86</v>
      </c>
      <c r="J104" s="3">
        <v>0.44</v>
      </c>
    </row>
    <row r="105" spans="1:10" ht="15" customHeight="1" x14ac:dyDescent="0.25">
      <c r="A105" s="2" t="s">
        <v>58</v>
      </c>
      <c r="B105" s="2" t="s">
        <v>322</v>
      </c>
      <c r="C105" s="2" t="s">
        <v>294</v>
      </c>
      <c r="D105" s="2" t="s">
        <v>295</v>
      </c>
      <c r="E105" s="2" t="s">
        <v>119</v>
      </c>
      <c r="F105" s="2"/>
      <c r="G105" s="4">
        <v>1</v>
      </c>
      <c r="H105" s="3">
        <v>100.35</v>
      </c>
      <c r="I105" s="3">
        <v>-100.35</v>
      </c>
      <c r="J105" s="3"/>
    </row>
    <row r="106" spans="1:10" ht="15" customHeight="1" x14ac:dyDescent="0.25">
      <c r="A106" s="2" t="s">
        <v>58</v>
      </c>
      <c r="B106" s="2" t="s">
        <v>322</v>
      </c>
      <c r="C106" s="2" t="s">
        <v>294</v>
      </c>
      <c r="D106" s="2" t="s">
        <v>295</v>
      </c>
      <c r="E106" s="2" t="s">
        <v>119</v>
      </c>
      <c r="F106" s="2"/>
      <c r="G106" s="4">
        <v>1.7603914409999999</v>
      </c>
      <c r="H106" s="3">
        <v>100.35</v>
      </c>
      <c r="I106" s="3">
        <v>-176.65</v>
      </c>
      <c r="J106" s="3"/>
    </row>
    <row r="107" spans="1:10" ht="15" customHeight="1" x14ac:dyDescent="0.25">
      <c r="A107" s="2" t="s">
        <v>58</v>
      </c>
      <c r="B107" s="2" t="s">
        <v>322</v>
      </c>
      <c r="C107" s="2" t="s">
        <v>294</v>
      </c>
      <c r="D107" s="2" t="s">
        <v>295</v>
      </c>
      <c r="E107" s="2" t="s">
        <v>115</v>
      </c>
      <c r="F107" s="2"/>
      <c r="G107" s="4">
        <v>1.2610226069999999</v>
      </c>
      <c r="H107" s="3">
        <v>110.23</v>
      </c>
      <c r="I107" s="3">
        <v>-139</v>
      </c>
      <c r="J107" s="3"/>
    </row>
    <row r="108" spans="1:10" ht="15" customHeight="1" x14ac:dyDescent="0.25">
      <c r="A108" s="2" t="s">
        <v>58</v>
      </c>
      <c r="B108" s="2" t="s">
        <v>322</v>
      </c>
      <c r="C108" s="2" t="s">
        <v>294</v>
      </c>
      <c r="D108" s="2" t="s">
        <v>295</v>
      </c>
      <c r="E108" s="2" t="s">
        <v>156</v>
      </c>
      <c r="F108" s="2"/>
      <c r="G108" s="4">
        <v>11</v>
      </c>
      <c r="H108" s="3">
        <v>21.68</v>
      </c>
      <c r="I108" s="3">
        <v>-238.47</v>
      </c>
      <c r="J108" s="3"/>
    </row>
    <row r="109" spans="1:10" ht="15" customHeight="1" x14ac:dyDescent="0.25">
      <c r="A109" s="2" t="s">
        <v>58</v>
      </c>
      <c r="B109" s="2" t="s">
        <v>322</v>
      </c>
      <c r="C109" s="2" t="s">
        <v>294</v>
      </c>
      <c r="D109" s="2" t="s">
        <v>295</v>
      </c>
      <c r="E109" s="2" t="s">
        <v>156</v>
      </c>
      <c r="F109" s="2"/>
      <c r="G109" s="4">
        <v>1.7569998609999999</v>
      </c>
      <c r="H109" s="3">
        <v>21.68</v>
      </c>
      <c r="I109" s="3">
        <v>-38.090000000000003</v>
      </c>
      <c r="J109" s="3">
        <v>0.44</v>
      </c>
    </row>
    <row r="110" spans="1:10" ht="15" customHeight="1" x14ac:dyDescent="0.25">
      <c r="A110" s="2" t="s">
        <v>58</v>
      </c>
      <c r="B110" s="2" t="s">
        <v>322</v>
      </c>
      <c r="C110" s="2" t="s">
        <v>294</v>
      </c>
      <c r="D110" s="2" t="s">
        <v>295</v>
      </c>
      <c r="E110" s="2" t="s">
        <v>136</v>
      </c>
      <c r="F110" s="2"/>
      <c r="G110" s="4">
        <v>4</v>
      </c>
      <c r="H110" s="3">
        <v>25.1</v>
      </c>
      <c r="I110" s="3">
        <v>-100.39</v>
      </c>
      <c r="J110" s="3"/>
    </row>
    <row r="111" spans="1:10" ht="15" customHeight="1" x14ac:dyDescent="0.25">
      <c r="A111" s="2" t="s">
        <v>58</v>
      </c>
      <c r="B111" s="2" t="s">
        <v>322</v>
      </c>
      <c r="C111" s="2" t="s">
        <v>294</v>
      </c>
      <c r="D111" s="2" t="s">
        <v>295</v>
      </c>
      <c r="E111" s="2" t="s">
        <v>136</v>
      </c>
      <c r="F111" s="2"/>
      <c r="G111" s="4">
        <v>1.5296649</v>
      </c>
      <c r="H111" s="3">
        <v>25.1</v>
      </c>
      <c r="I111" s="3">
        <v>-38.39</v>
      </c>
      <c r="J111" s="3">
        <v>0.22</v>
      </c>
    </row>
    <row r="112" spans="1:10" ht="15" customHeight="1" x14ac:dyDescent="0.25">
      <c r="A112" s="2" t="s">
        <v>60</v>
      </c>
      <c r="B112" s="2" t="s">
        <v>323</v>
      </c>
      <c r="C112" s="2" t="s">
        <v>294</v>
      </c>
      <c r="D112" s="2" t="s">
        <v>295</v>
      </c>
      <c r="E112" s="2" t="s">
        <v>140</v>
      </c>
      <c r="F112" s="2"/>
      <c r="G112" s="4">
        <v>4</v>
      </c>
      <c r="H112" s="3">
        <v>12.75</v>
      </c>
      <c r="I112" s="3">
        <v>-51</v>
      </c>
      <c r="J112" s="3"/>
    </row>
    <row r="113" spans="1:10" ht="15" customHeight="1" x14ac:dyDescent="0.25">
      <c r="A113" s="2" t="s">
        <v>60</v>
      </c>
      <c r="B113" s="2" t="s">
        <v>323</v>
      </c>
      <c r="C113" s="2" t="s">
        <v>294</v>
      </c>
      <c r="D113" s="2" t="s">
        <v>295</v>
      </c>
      <c r="E113" s="2" t="s">
        <v>140</v>
      </c>
      <c r="F113" s="2"/>
      <c r="G113" s="4">
        <v>1.7945661040000001</v>
      </c>
      <c r="H113" s="3">
        <v>12.75</v>
      </c>
      <c r="I113" s="3">
        <v>-22.88</v>
      </c>
      <c r="J113" s="3">
        <v>0.12</v>
      </c>
    </row>
    <row r="114" spans="1:10" ht="15" customHeight="1" x14ac:dyDescent="0.25">
      <c r="A114" s="2" t="s">
        <v>60</v>
      </c>
      <c r="B114" s="2" t="s">
        <v>323</v>
      </c>
      <c r="C114" s="2" t="s">
        <v>294</v>
      </c>
      <c r="D114" s="2" t="s">
        <v>295</v>
      </c>
      <c r="E114" s="2" t="s">
        <v>127</v>
      </c>
      <c r="F114" s="2"/>
      <c r="G114" s="4">
        <v>4</v>
      </c>
      <c r="H114" s="3">
        <v>25.39</v>
      </c>
      <c r="I114" s="3">
        <v>-101.56</v>
      </c>
      <c r="J114" s="3"/>
    </row>
    <row r="115" spans="1:10" ht="15" customHeight="1" x14ac:dyDescent="0.25">
      <c r="A115" s="2" t="s">
        <v>60</v>
      </c>
      <c r="B115" s="2" t="s">
        <v>323</v>
      </c>
      <c r="C115" s="2" t="s">
        <v>294</v>
      </c>
      <c r="D115" s="2" t="s">
        <v>295</v>
      </c>
      <c r="E115" s="2" t="s">
        <v>127</v>
      </c>
      <c r="F115" s="2"/>
      <c r="G115" s="4">
        <v>1.7802354469999999</v>
      </c>
      <c r="H115" s="3">
        <v>25.39</v>
      </c>
      <c r="I115" s="3">
        <v>-45.2</v>
      </c>
      <c r="J115" s="3">
        <v>0.24</v>
      </c>
    </row>
    <row r="116" spans="1:10" ht="15" customHeight="1" x14ac:dyDescent="0.25">
      <c r="A116" s="2" t="s">
        <v>60</v>
      </c>
      <c r="B116" s="2" t="s">
        <v>323</v>
      </c>
      <c r="C116" s="2" t="s">
        <v>294</v>
      </c>
      <c r="D116" s="2" t="s">
        <v>295</v>
      </c>
      <c r="E116" s="2" t="s">
        <v>132</v>
      </c>
      <c r="F116" s="2"/>
      <c r="G116" s="4">
        <v>5</v>
      </c>
      <c r="H116" s="3">
        <v>15</v>
      </c>
      <c r="I116" s="3">
        <v>-75</v>
      </c>
      <c r="J116" s="3">
        <v>0.12</v>
      </c>
    </row>
    <row r="117" spans="1:10" ht="15" customHeight="1" x14ac:dyDescent="0.25">
      <c r="A117" s="2" t="s">
        <v>60</v>
      </c>
      <c r="B117" s="2" t="s">
        <v>323</v>
      </c>
      <c r="C117" s="2" t="s">
        <v>294</v>
      </c>
      <c r="D117" s="2" t="s">
        <v>295</v>
      </c>
      <c r="E117" s="2" t="s">
        <v>134</v>
      </c>
      <c r="F117" s="2"/>
      <c r="G117" s="4">
        <v>1</v>
      </c>
      <c r="H117" s="3">
        <v>25.64</v>
      </c>
      <c r="I117" s="3">
        <v>-25.64</v>
      </c>
      <c r="J117" s="3"/>
    </row>
    <row r="118" spans="1:10" ht="15" customHeight="1" x14ac:dyDescent="0.25">
      <c r="A118" s="2" t="s">
        <v>60</v>
      </c>
      <c r="B118" s="2" t="s">
        <v>323</v>
      </c>
      <c r="C118" s="2" t="s">
        <v>294</v>
      </c>
      <c r="D118" s="2" t="s">
        <v>295</v>
      </c>
      <c r="E118" s="2" t="s">
        <v>134</v>
      </c>
      <c r="F118" s="2"/>
      <c r="G118" s="4">
        <v>1.8816627589999999</v>
      </c>
      <c r="H118" s="3">
        <v>25.64</v>
      </c>
      <c r="I118" s="3">
        <v>-48.24</v>
      </c>
      <c r="J118" s="3">
        <v>0.12</v>
      </c>
    </row>
    <row r="119" spans="1:10" ht="15" customHeight="1" x14ac:dyDescent="0.25">
      <c r="A119" s="2" t="s">
        <v>60</v>
      </c>
      <c r="B119" s="2" t="s">
        <v>323</v>
      </c>
      <c r="C119" s="2" t="s">
        <v>294</v>
      </c>
      <c r="D119" s="2" t="s">
        <v>295</v>
      </c>
      <c r="E119" s="2" t="s">
        <v>143</v>
      </c>
      <c r="F119" s="2"/>
      <c r="G119" s="4">
        <v>1</v>
      </c>
      <c r="H119" s="3">
        <v>50.68</v>
      </c>
      <c r="I119" s="3">
        <v>-50.68</v>
      </c>
      <c r="J119" s="3"/>
    </row>
    <row r="120" spans="1:10" ht="15" customHeight="1" x14ac:dyDescent="0.25">
      <c r="A120" s="2" t="s">
        <v>60</v>
      </c>
      <c r="B120" s="2" t="s">
        <v>323</v>
      </c>
      <c r="C120" s="2" t="s">
        <v>294</v>
      </c>
      <c r="D120" s="2" t="s">
        <v>295</v>
      </c>
      <c r="E120" s="2" t="s">
        <v>143</v>
      </c>
      <c r="F120" s="2"/>
      <c r="G120" s="4">
        <v>1.896003946</v>
      </c>
      <c r="H120" s="3">
        <v>50.68</v>
      </c>
      <c r="I120" s="3">
        <v>-96.08</v>
      </c>
      <c r="J120" s="3">
        <v>0.24</v>
      </c>
    </row>
    <row r="121" spans="1:10" ht="15" customHeight="1" x14ac:dyDescent="0.25">
      <c r="A121" s="2" t="s">
        <v>60</v>
      </c>
      <c r="B121" s="2" t="s">
        <v>323</v>
      </c>
      <c r="C121" s="2" t="s">
        <v>294</v>
      </c>
      <c r="D121" s="2" t="s">
        <v>295</v>
      </c>
      <c r="E121" s="2" t="s">
        <v>160</v>
      </c>
      <c r="F121" s="2"/>
      <c r="G121" s="4">
        <v>3</v>
      </c>
      <c r="H121" s="3">
        <v>25.04</v>
      </c>
      <c r="I121" s="3">
        <v>-75.11</v>
      </c>
      <c r="J121" s="3">
        <v>0.12</v>
      </c>
    </row>
    <row r="122" spans="1:10" ht="15" customHeight="1" x14ac:dyDescent="0.25">
      <c r="A122" s="2" t="s">
        <v>60</v>
      </c>
      <c r="B122" s="2" t="s">
        <v>323</v>
      </c>
      <c r="C122" s="2" t="s">
        <v>294</v>
      </c>
      <c r="D122" s="2" t="s">
        <v>295</v>
      </c>
      <c r="E122" s="2" t="s">
        <v>145</v>
      </c>
      <c r="F122" s="2"/>
      <c r="G122" s="4">
        <v>4</v>
      </c>
      <c r="H122" s="3">
        <v>25.49</v>
      </c>
      <c r="I122" s="3">
        <v>-101.95</v>
      </c>
      <c r="J122" s="3"/>
    </row>
    <row r="123" spans="1:10" ht="15" customHeight="1" x14ac:dyDescent="0.25">
      <c r="A123" s="2" t="s">
        <v>60</v>
      </c>
      <c r="B123" s="2" t="s">
        <v>323</v>
      </c>
      <c r="C123" s="2" t="s">
        <v>294</v>
      </c>
      <c r="D123" s="2" t="s">
        <v>295</v>
      </c>
      <c r="E123" s="2" t="s">
        <v>145</v>
      </c>
      <c r="F123" s="2"/>
      <c r="G123" s="4">
        <v>1.758082234</v>
      </c>
      <c r="H123" s="3">
        <v>25.49</v>
      </c>
      <c r="I123" s="3">
        <v>-44.81</v>
      </c>
      <c r="J123" s="3">
        <v>0.24</v>
      </c>
    </row>
    <row r="124" spans="1:10" ht="15" customHeight="1" x14ac:dyDescent="0.25">
      <c r="A124" s="2" t="s">
        <v>60</v>
      </c>
      <c r="B124" s="2" t="s">
        <v>323</v>
      </c>
      <c r="C124" s="2" t="s">
        <v>294</v>
      </c>
      <c r="D124" s="2" t="s">
        <v>295</v>
      </c>
      <c r="E124" s="2" t="s">
        <v>129</v>
      </c>
      <c r="F124" s="2"/>
      <c r="G124" s="4">
        <v>2</v>
      </c>
      <c r="H124" s="3">
        <v>50.56</v>
      </c>
      <c r="I124" s="3">
        <v>-101.12</v>
      </c>
      <c r="J124" s="3">
        <v>0.16</v>
      </c>
    </row>
    <row r="125" spans="1:10" ht="15" customHeight="1" x14ac:dyDescent="0.25">
      <c r="A125" s="2" t="s">
        <v>60</v>
      </c>
      <c r="B125" s="2" t="s">
        <v>323</v>
      </c>
      <c r="C125" s="2" t="s">
        <v>294</v>
      </c>
      <c r="D125" s="2" t="s">
        <v>295</v>
      </c>
      <c r="E125" s="2" t="s">
        <v>119</v>
      </c>
      <c r="F125" s="2"/>
      <c r="G125" s="4">
        <v>0.73750722499999999</v>
      </c>
      <c r="H125" s="3">
        <v>100.34</v>
      </c>
      <c r="I125" s="3">
        <v>-74</v>
      </c>
      <c r="J125" s="3"/>
    </row>
    <row r="126" spans="1:10" ht="15" customHeight="1" x14ac:dyDescent="0.25">
      <c r="A126" s="2" t="s">
        <v>60</v>
      </c>
      <c r="B126" s="2" t="s">
        <v>323</v>
      </c>
      <c r="C126" s="2" t="s">
        <v>294</v>
      </c>
      <c r="D126" s="2" t="s">
        <v>295</v>
      </c>
      <c r="E126" s="2" t="s">
        <v>115</v>
      </c>
      <c r="F126" s="2"/>
      <c r="G126" s="4">
        <v>0.67182336399999998</v>
      </c>
      <c r="H126" s="3">
        <v>110.15</v>
      </c>
      <c r="I126" s="3">
        <v>-74</v>
      </c>
      <c r="J126" s="3"/>
    </row>
    <row r="127" spans="1:10" ht="15" customHeight="1" x14ac:dyDescent="0.25">
      <c r="A127" s="2" t="s">
        <v>60</v>
      </c>
      <c r="B127" s="2" t="s">
        <v>323</v>
      </c>
      <c r="C127" s="2" t="s">
        <v>294</v>
      </c>
      <c r="D127" s="2" t="s">
        <v>295</v>
      </c>
      <c r="E127" s="2" t="s">
        <v>162</v>
      </c>
      <c r="F127" s="2"/>
      <c r="G127" s="4">
        <v>10</v>
      </c>
      <c r="H127" s="3">
        <v>25.36</v>
      </c>
      <c r="I127" s="3">
        <v>-253.57</v>
      </c>
      <c r="J127" s="3"/>
    </row>
    <row r="128" spans="1:10" ht="15" customHeight="1" x14ac:dyDescent="0.25">
      <c r="A128" s="2" t="s">
        <v>60</v>
      </c>
      <c r="B128" s="2" t="s">
        <v>323</v>
      </c>
      <c r="C128" s="2" t="s">
        <v>294</v>
      </c>
      <c r="D128" s="2" t="s">
        <v>295</v>
      </c>
      <c r="E128" s="2" t="s">
        <v>162</v>
      </c>
      <c r="F128" s="2"/>
      <c r="G128" s="4">
        <v>1.5944378050000001</v>
      </c>
      <c r="H128" s="3">
        <v>25.36</v>
      </c>
      <c r="I128" s="3">
        <v>-40.43</v>
      </c>
      <c r="J128" s="3"/>
    </row>
    <row r="129" spans="1:10" ht="15" customHeight="1" x14ac:dyDescent="0.25">
      <c r="A129" s="2" t="s">
        <v>60</v>
      </c>
      <c r="B129" s="2" t="s">
        <v>324</v>
      </c>
      <c r="C129" s="2" t="s">
        <v>294</v>
      </c>
      <c r="D129" s="2" t="s">
        <v>295</v>
      </c>
      <c r="E129" s="2" t="s">
        <v>164</v>
      </c>
      <c r="F129" s="2"/>
      <c r="G129" s="4">
        <v>14</v>
      </c>
      <c r="H129" s="3">
        <v>18.489999999999998</v>
      </c>
      <c r="I129" s="3">
        <v>-258.82</v>
      </c>
      <c r="J129" s="3"/>
    </row>
    <row r="130" spans="1:10" ht="15" customHeight="1" x14ac:dyDescent="0.25">
      <c r="A130" s="2" t="s">
        <v>60</v>
      </c>
      <c r="B130" s="2" t="s">
        <v>324</v>
      </c>
      <c r="C130" s="2" t="s">
        <v>294</v>
      </c>
      <c r="D130" s="2" t="s">
        <v>295</v>
      </c>
      <c r="E130" s="2" t="s">
        <v>164</v>
      </c>
      <c r="F130" s="2"/>
      <c r="G130" s="4">
        <v>1.527576432</v>
      </c>
      <c r="H130" s="3">
        <v>18.489999999999998</v>
      </c>
      <c r="I130" s="3">
        <v>-28.24</v>
      </c>
      <c r="J130" s="3">
        <v>0.46</v>
      </c>
    </row>
    <row r="131" spans="1:10" ht="15" customHeight="1" x14ac:dyDescent="0.25">
      <c r="A131" s="2" t="s">
        <v>60</v>
      </c>
      <c r="B131" s="2" t="s">
        <v>325</v>
      </c>
      <c r="C131" s="2" t="s">
        <v>294</v>
      </c>
      <c r="D131" s="2" t="s">
        <v>295</v>
      </c>
      <c r="E131" s="2" t="s">
        <v>127</v>
      </c>
      <c r="F131" s="2"/>
      <c r="G131" s="4">
        <v>1</v>
      </c>
      <c r="H131" s="3">
        <v>25.51</v>
      </c>
      <c r="I131" s="3">
        <v>-25.51</v>
      </c>
      <c r="J131" s="3"/>
    </row>
    <row r="132" spans="1:10" ht="15" customHeight="1" x14ac:dyDescent="0.25">
      <c r="A132" s="2" t="s">
        <v>60</v>
      </c>
      <c r="B132" s="2" t="s">
        <v>325</v>
      </c>
      <c r="C132" s="2" t="s">
        <v>294</v>
      </c>
      <c r="D132" s="2" t="s">
        <v>295</v>
      </c>
      <c r="E132" s="2" t="s">
        <v>127</v>
      </c>
      <c r="F132" s="2"/>
      <c r="G132" s="4">
        <v>1.817739918</v>
      </c>
      <c r="H132" s="3">
        <v>25.51</v>
      </c>
      <c r="I132" s="3">
        <v>-46.37</v>
      </c>
      <c r="J132" s="3">
        <v>0.12</v>
      </c>
    </row>
    <row r="133" spans="1:10" ht="15" customHeight="1" x14ac:dyDescent="0.25">
      <c r="A133" s="2" t="s">
        <v>60</v>
      </c>
      <c r="B133" s="2" t="s">
        <v>325</v>
      </c>
      <c r="C133" s="2" t="s">
        <v>294</v>
      </c>
      <c r="D133" s="2" t="s">
        <v>295</v>
      </c>
      <c r="E133" s="2" t="s">
        <v>132</v>
      </c>
      <c r="F133" s="2"/>
      <c r="G133" s="4">
        <v>5</v>
      </c>
      <c r="H133" s="3">
        <v>14.57</v>
      </c>
      <c r="I133" s="3">
        <v>-72.849999999999994</v>
      </c>
      <c r="J133" s="3">
        <v>0.12</v>
      </c>
    </row>
    <row r="134" spans="1:10" ht="15" customHeight="1" x14ac:dyDescent="0.25">
      <c r="A134" s="2" t="s">
        <v>62</v>
      </c>
      <c r="B134" s="2" t="s">
        <v>326</v>
      </c>
      <c r="C134" s="2" t="s">
        <v>294</v>
      </c>
      <c r="D134" s="2" t="s">
        <v>295</v>
      </c>
      <c r="E134" s="2" t="s">
        <v>140</v>
      </c>
      <c r="F134" s="2"/>
      <c r="G134" s="4">
        <v>3</v>
      </c>
      <c r="H134" s="3">
        <v>17.010000000000002</v>
      </c>
      <c r="I134" s="3">
        <v>-51.03</v>
      </c>
      <c r="J134" s="3"/>
    </row>
    <row r="135" spans="1:10" ht="15" customHeight="1" x14ac:dyDescent="0.25">
      <c r="A135" s="2" t="s">
        <v>62</v>
      </c>
      <c r="B135" s="2" t="s">
        <v>326</v>
      </c>
      <c r="C135" s="2" t="s">
        <v>294</v>
      </c>
      <c r="D135" s="2" t="s">
        <v>295</v>
      </c>
      <c r="E135" s="2" t="s">
        <v>140</v>
      </c>
      <c r="F135" s="2"/>
      <c r="G135" s="4">
        <v>1.2845460580000001</v>
      </c>
      <c r="H135" s="3">
        <v>17.010000000000002</v>
      </c>
      <c r="I135" s="3">
        <v>-21.85</v>
      </c>
      <c r="J135" s="3">
        <v>0.12</v>
      </c>
    </row>
    <row r="136" spans="1:10" ht="15" customHeight="1" x14ac:dyDescent="0.25">
      <c r="A136" s="2" t="s">
        <v>62</v>
      </c>
      <c r="B136" s="2" t="s">
        <v>326</v>
      </c>
      <c r="C136" s="2" t="s">
        <v>294</v>
      </c>
      <c r="D136" s="2" t="s">
        <v>295</v>
      </c>
      <c r="E136" s="2" t="s">
        <v>158</v>
      </c>
      <c r="F136" s="2"/>
      <c r="G136" s="4">
        <v>3</v>
      </c>
      <c r="H136" s="3">
        <v>19.2</v>
      </c>
      <c r="I136" s="3">
        <v>-57.6</v>
      </c>
      <c r="J136" s="3">
        <v>0.09</v>
      </c>
    </row>
    <row r="137" spans="1:10" ht="15" customHeight="1" x14ac:dyDescent="0.25">
      <c r="A137" s="2" t="s">
        <v>62</v>
      </c>
      <c r="B137" s="2" t="s">
        <v>326</v>
      </c>
      <c r="C137" s="2" t="s">
        <v>294</v>
      </c>
      <c r="D137" s="2" t="s">
        <v>295</v>
      </c>
      <c r="E137" s="2" t="s">
        <v>166</v>
      </c>
      <c r="F137" s="2"/>
      <c r="G137" s="4">
        <v>1</v>
      </c>
      <c r="H137" s="3">
        <v>50.87</v>
      </c>
      <c r="I137" s="3">
        <v>-50.87</v>
      </c>
      <c r="J137" s="3"/>
    </row>
    <row r="138" spans="1:10" ht="15" customHeight="1" x14ac:dyDescent="0.25">
      <c r="A138" s="2" t="s">
        <v>62</v>
      </c>
      <c r="B138" s="2" t="s">
        <v>326</v>
      </c>
      <c r="C138" s="2" t="s">
        <v>294</v>
      </c>
      <c r="D138" s="2" t="s">
        <v>295</v>
      </c>
      <c r="E138" s="2" t="s">
        <v>166</v>
      </c>
      <c r="F138" s="2"/>
      <c r="G138" s="4">
        <v>1.845943347</v>
      </c>
      <c r="H138" s="3">
        <v>50.87</v>
      </c>
      <c r="I138" s="3">
        <v>-93.9</v>
      </c>
      <c r="J138" s="3">
        <v>0.23</v>
      </c>
    </row>
    <row r="139" spans="1:10" ht="15" customHeight="1" x14ac:dyDescent="0.25">
      <c r="A139" s="2" t="s">
        <v>62</v>
      </c>
      <c r="B139" s="2" t="s">
        <v>326</v>
      </c>
      <c r="C139" s="2" t="s">
        <v>294</v>
      </c>
      <c r="D139" s="2" t="s">
        <v>295</v>
      </c>
      <c r="E139" s="2" t="s">
        <v>132</v>
      </c>
      <c r="F139" s="2"/>
      <c r="G139" s="4">
        <v>5</v>
      </c>
      <c r="H139" s="3">
        <v>14.39</v>
      </c>
      <c r="I139" s="3">
        <v>-71.95</v>
      </c>
      <c r="J139" s="3"/>
    </row>
    <row r="140" spans="1:10" ht="15" customHeight="1" x14ac:dyDescent="0.25">
      <c r="A140" s="2" t="s">
        <v>62</v>
      </c>
      <c r="B140" s="2" t="s">
        <v>326</v>
      </c>
      <c r="C140" s="2" t="s">
        <v>294</v>
      </c>
      <c r="D140" s="2" t="s">
        <v>295</v>
      </c>
      <c r="E140" s="2" t="s">
        <v>134</v>
      </c>
      <c r="F140" s="2"/>
      <c r="G140" s="4">
        <v>1</v>
      </c>
      <c r="H140" s="3">
        <v>25.64</v>
      </c>
      <c r="I140" s="3">
        <v>-25.64</v>
      </c>
      <c r="J140" s="3"/>
    </row>
    <row r="141" spans="1:10" ht="15" customHeight="1" x14ac:dyDescent="0.25">
      <c r="A141" s="2" t="s">
        <v>62</v>
      </c>
      <c r="B141" s="2" t="s">
        <v>326</v>
      </c>
      <c r="C141" s="2" t="s">
        <v>294</v>
      </c>
      <c r="D141" s="2" t="s">
        <v>295</v>
      </c>
      <c r="E141" s="2" t="s">
        <v>134</v>
      </c>
      <c r="F141" s="2"/>
      <c r="G141" s="4">
        <v>1.8424552540000001</v>
      </c>
      <c r="H141" s="3">
        <v>25.64</v>
      </c>
      <c r="I141" s="3">
        <v>-47.24</v>
      </c>
      <c r="J141" s="3">
        <v>0.12</v>
      </c>
    </row>
    <row r="142" spans="1:10" ht="15" customHeight="1" x14ac:dyDescent="0.25">
      <c r="A142" s="2" t="s">
        <v>62</v>
      </c>
      <c r="B142" s="2" t="s">
        <v>326</v>
      </c>
      <c r="C142" s="2" t="s">
        <v>294</v>
      </c>
      <c r="D142" s="2" t="s">
        <v>295</v>
      </c>
      <c r="E142" s="2" t="s">
        <v>143</v>
      </c>
      <c r="F142" s="2"/>
      <c r="G142" s="4">
        <v>1.43724856</v>
      </c>
      <c r="H142" s="3">
        <v>50.71</v>
      </c>
      <c r="I142" s="3">
        <v>-72.88</v>
      </c>
      <c r="J142" s="3">
        <v>0.12</v>
      </c>
    </row>
    <row r="143" spans="1:10" ht="15" customHeight="1" x14ac:dyDescent="0.25">
      <c r="A143" s="2" t="s">
        <v>62</v>
      </c>
      <c r="B143" s="2" t="s">
        <v>326</v>
      </c>
      <c r="C143" s="2" t="s">
        <v>294</v>
      </c>
      <c r="D143" s="2" t="s">
        <v>295</v>
      </c>
      <c r="E143" s="2" t="s">
        <v>160</v>
      </c>
      <c r="F143" s="2"/>
      <c r="G143" s="4">
        <v>3</v>
      </c>
      <c r="H143" s="3">
        <v>24.77</v>
      </c>
      <c r="I143" s="3">
        <v>-74.3</v>
      </c>
      <c r="J143" s="3">
        <v>0.12</v>
      </c>
    </row>
    <row r="144" spans="1:10" ht="15" customHeight="1" x14ac:dyDescent="0.25">
      <c r="A144" s="2" t="s">
        <v>62</v>
      </c>
      <c r="B144" s="2" t="s">
        <v>326</v>
      </c>
      <c r="C144" s="2" t="s">
        <v>294</v>
      </c>
      <c r="D144" s="2" t="s">
        <v>295</v>
      </c>
      <c r="E144" s="2" t="s">
        <v>152</v>
      </c>
      <c r="F144" s="2"/>
      <c r="G144" s="4">
        <v>3</v>
      </c>
      <c r="H144" s="3">
        <v>34.9</v>
      </c>
      <c r="I144" s="3">
        <v>-104.69</v>
      </c>
      <c r="J144" s="3"/>
    </row>
    <row r="145" spans="1:10" ht="15" customHeight="1" x14ac:dyDescent="0.25">
      <c r="A145" s="2" t="s">
        <v>62</v>
      </c>
      <c r="B145" s="2" t="s">
        <v>326</v>
      </c>
      <c r="C145" s="2" t="s">
        <v>294</v>
      </c>
      <c r="D145" s="2" t="s">
        <v>295</v>
      </c>
      <c r="E145" s="2" t="s">
        <v>152</v>
      </c>
      <c r="F145" s="2"/>
      <c r="G145" s="4">
        <v>1.148483302</v>
      </c>
      <c r="H145" s="3">
        <v>34.9</v>
      </c>
      <c r="I145" s="3">
        <v>-40.08</v>
      </c>
      <c r="J145" s="3">
        <v>0.23</v>
      </c>
    </row>
    <row r="146" spans="1:10" ht="15" customHeight="1" x14ac:dyDescent="0.25">
      <c r="A146" s="2" t="s">
        <v>62</v>
      </c>
      <c r="B146" s="2" t="s">
        <v>326</v>
      </c>
      <c r="C146" s="2" t="s">
        <v>294</v>
      </c>
      <c r="D146" s="2" t="s">
        <v>295</v>
      </c>
      <c r="E146" s="2" t="s">
        <v>145</v>
      </c>
      <c r="F146" s="2"/>
      <c r="G146" s="4">
        <v>1</v>
      </c>
      <c r="H146" s="3">
        <v>25.51</v>
      </c>
      <c r="I146" s="3">
        <v>-25.51</v>
      </c>
      <c r="J146" s="3"/>
    </row>
    <row r="147" spans="1:10" ht="15" customHeight="1" x14ac:dyDescent="0.25">
      <c r="A147" s="2" t="s">
        <v>62</v>
      </c>
      <c r="B147" s="2" t="s">
        <v>326</v>
      </c>
      <c r="C147" s="2" t="s">
        <v>294</v>
      </c>
      <c r="D147" s="2" t="s">
        <v>295</v>
      </c>
      <c r="E147" s="2" t="s">
        <v>145</v>
      </c>
      <c r="F147" s="2"/>
      <c r="G147" s="4">
        <v>1.857151818</v>
      </c>
      <c r="H147" s="3">
        <v>25.51</v>
      </c>
      <c r="I147" s="3">
        <v>-47.37</v>
      </c>
      <c r="J147" s="3">
        <v>0.12</v>
      </c>
    </row>
    <row r="148" spans="1:10" ht="15" customHeight="1" x14ac:dyDescent="0.25">
      <c r="A148" s="2" t="s">
        <v>62</v>
      </c>
      <c r="B148" s="2" t="s">
        <v>326</v>
      </c>
      <c r="C148" s="2" t="s">
        <v>294</v>
      </c>
      <c r="D148" s="2" t="s">
        <v>295</v>
      </c>
      <c r="E148" s="2" t="s">
        <v>119</v>
      </c>
      <c r="F148" s="2"/>
      <c r="G148" s="4">
        <v>0.72761342699999998</v>
      </c>
      <c r="H148" s="3">
        <v>100.33</v>
      </c>
      <c r="I148" s="3">
        <v>-73</v>
      </c>
      <c r="J148" s="3"/>
    </row>
    <row r="149" spans="1:10" ht="15" customHeight="1" x14ac:dyDescent="0.25">
      <c r="A149" s="2" t="s">
        <v>62</v>
      </c>
      <c r="B149" s="2" t="s">
        <v>326</v>
      </c>
      <c r="C149" s="2" t="s">
        <v>294</v>
      </c>
      <c r="D149" s="2" t="s">
        <v>295</v>
      </c>
      <c r="E149" s="2" t="s">
        <v>115</v>
      </c>
      <c r="F149" s="2"/>
      <c r="G149" s="4">
        <v>1.316888872</v>
      </c>
      <c r="H149" s="3">
        <v>110.11</v>
      </c>
      <c r="I149" s="3">
        <v>-145</v>
      </c>
      <c r="J149" s="3"/>
    </row>
    <row r="150" spans="1:10" ht="15" customHeight="1" x14ac:dyDescent="0.25">
      <c r="A150" s="2" t="s">
        <v>62</v>
      </c>
      <c r="B150" s="2" t="s">
        <v>326</v>
      </c>
      <c r="C150" s="2" t="s">
        <v>294</v>
      </c>
      <c r="D150" s="2" t="s">
        <v>295</v>
      </c>
      <c r="E150" s="2" t="s">
        <v>162</v>
      </c>
      <c r="F150" s="2"/>
      <c r="G150" s="4">
        <v>1</v>
      </c>
      <c r="H150" s="3">
        <v>25.5</v>
      </c>
      <c r="I150" s="3">
        <v>-25.5</v>
      </c>
      <c r="J150" s="3"/>
    </row>
    <row r="151" spans="1:10" ht="15" customHeight="1" x14ac:dyDescent="0.25">
      <c r="A151" s="2" t="s">
        <v>62</v>
      </c>
      <c r="B151" s="2" t="s">
        <v>326</v>
      </c>
      <c r="C151" s="2" t="s">
        <v>294</v>
      </c>
      <c r="D151" s="2" t="s">
        <v>295</v>
      </c>
      <c r="E151" s="2" t="s">
        <v>162</v>
      </c>
      <c r="F151" s="2"/>
      <c r="G151" s="4">
        <v>1.858206818</v>
      </c>
      <c r="H151" s="3">
        <v>25.5</v>
      </c>
      <c r="I151" s="3">
        <v>-47.38</v>
      </c>
      <c r="J151" s="3">
        <v>0.12</v>
      </c>
    </row>
    <row r="152" spans="1:10" ht="15" customHeight="1" x14ac:dyDescent="0.25">
      <c r="A152" s="2" t="s">
        <v>62</v>
      </c>
      <c r="B152" s="2" t="s">
        <v>326</v>
      </c>
      <c r="C152" s="2" t="s">
        <v>294</v>
      </c>
      <c r="D152" s="2" t="s">
        <v>295</v>
      </c>
      <c r="E152" s="2" t="s">
        <v>156</v>
      </c>
      <c r="F152" s="2"/>
      <c r="G152" s="4">
        <v>2</v>
      </c>
      <c r="H152" s="3">
        <v>21.78</v>
      </c>
      <c r="I152" s="3">
        <v>-43.56</v>
      </c>
      <c r="J152" s="3"/>
    </row>
    <row r="153" spans="1:10" ht="15" customHeight="1" x14ac:dyDescent="0.25">
      <c r="A153" s="2" t="s">
        <v>62</v>
      </c>
      <c r="B153" s="2" t="s">
        <v>326</v>
      </c>
      <c r="C153" s="2" t="s">
        <v>294</v>
      </c>
      <c r="D153" s="2" t="s">
        <v>295</v>
      </c>
      <c r="E153" s="2" t="s">
        <v>156</v>
      </c>
      <c r="F153" s="2"/>
      <c r="G153" s="4">
        <v>1.3461891640000001</v>
      </c>
      <c r="H153" s="3">
        <v>21.78</v>
      </c>
      <c r="I153" s="3">
        <v>-29.32</v>
      </c>
      <c r="J153" s="3">
        <v>0.12</v>
      </c>
    </row>
    <row r="154" spans="1:10" ht="15" customHeight="1" x14ac:dyDescent="0.25">
      <c r="A154" s="2" t="s">
        <v>62</v>
      </c>
      <c r="B154" s="2" t="s">
        <v>326</v>
      </c>
      <c r="C154" s="2" t="s">
        <v>294</v>
      </c>
      <c r="D154" s="2" t="s">
        <v>295</v>
      </c>
      <c r="E154" s="2" t="s">
        <v>136</v>
      </c>
      <c r="F154" s="2"/>
      <c r="G154" s="4">
        <v>1</v>
      </c>
      <c r="H154" s="3">
        <v>25.12</v>
      </c>
      <c r="I154" s="3">
        <v>-25.12</v>
      </c>
      <c r="J154" s="3"/>
    </row>
    <row r="155" spans="1:10" ht="15" customHeight="1" x14ac:dyDescent="0.25">
      <c r="A155" s="2" t="s">
        <v>62</v>
      </c>
      <c r="B155" s="2" t="s">
        <v>326</v>
      </c>
      <c r="C155" s="2" t="s">
        <v>294</v>
      </c>
      <c r="D155" s="2" t="s">
        <v>295</v>
      </c>
      <c r="E155" s="2" t="s">
        <v>136</v>
      </c>
      <c r="F155" s="2"/>
      <c r="G155" s="4">
        <v>1.901516116</v>
      </c>
      <c r="H155" s="3">
        <v>25.12</v>
      </c>
      <c r="I155" s="3">
        <v>-47.76</v>
      </c>
      <c r="J155" s="3">
        <v>0.12</v>
      </c>
    </row>
    <row r="156" spans="1:10" ht="15" customHeight="1" x14ac:dyDescent="0.25">
      <c r="A156" s="2" t="s">
        <v>62</v>
      </c>
      <c r="B156" s="2" t="s">
        <v>327</v>
      </c>
      <c r="C156" s="2" t="s">
        <v>294</v>
      </c>
      <c r="D156" s="2" t="s">
        <v>295</v>
      </c>
      <c r="E156" s="2" t="s">
        <v>129</v>
      </c>
      <c r="F156" s="2"/>
      <c r="G156" s="4">
        <v>1</v>
      </c>
      <c r="H156" s="3">
        <v>50.68</v>
      </c>
      <c r="I156" s="3">
        <v>-50.68</v>
      </c>
      <c r="J156" s="3">
        <v>0.08</v>
      </c>
    </row>
    <row r="157" spans="1:10" ht="15" customHeight="1" x14ac:dyDescent="0.25">
      <c r="A157" s="2" t="s">
        <v>62</v>
      </c>
      <c r="B157" s="2" t="s">
        <v>328</v>
      </c>
      <c r="C157" s="2" t="s">
        <v>294</v>
      </c>
      <c r="D157" s="2" t="s">
        <v>295</v>
      </c>
      <c r="E157" s="2" t="s">
        <v>166</v>
      </c>
      <c r="F157" s="2"/>
      <c r="G157" s="4">
        <v>2</v>
      </c>
      <c r="H157" s="3">
        <v>50.76</v>
      </c>
      <c r="I157" s="3">
        <v>-101.51</v>
      </c>
      <c r="J157" s="3"/>
    </row>
    <row r="158" spans="1:10" ht="15" customHeight="1" x14ac:dyDescent="0.25">
      <c r="A158" s="2" t="s">
        <v>62</v>
      </c>
      <c r="B158" s="2" t="s">
        <v>328</v>
      </c>
      <c r="C158" s="2" t="s">
        <v>294</v>
      </c>
      <c r="D158" s="2" t="s">
        <v>295</v>
      </c>
      <c r="E158" s="2" t="s">
        <v>166</v>
      </c>
      <c r="F158" s="2"/>
      <c r="G158" s="4">
        <v>1.5800963029999999</v>
      </c>
      <c r="H158" s="3">
        <v>50.76</v>
      </c>
      <c r="I158" s="3">
        <v>-80.2</v>
      </c>
      <c r="J158" s="3">
        <v>0.28999999999999998</v>
      </c>
    </row>
    <row r="159" spans="1:10" ht="15" customHeight="1" x14ac:dyDescent="0.25">
      <c r="A159" s="2" t="s">
        <v>62</v>
      </c>
      <c r="B159" s="2" t="s">
        <v>328</v>
      </c>
      <c r="C159" s="2" t="s">
        <v>294</v>
      </c>
      <c r="D159" s="2" t="s">
        <v>295</v>
      </c>
      <c r="E159" s="2" t="s">
        <v>119</v>
      </c>
      <c r="F159" s="2"/>
      <c r="G159" s="4">
        <v>1.813871309</v>
      </c>
      <c r="H159" s="3">
        <v>100.18</v>
      </c>
      <c r="I159" s="3">
        <v>-181.71</v>
      </c>
      <c r="J159" s="3">
        <v>0.28999999999999998</v>
      </c>
    </row>
    <row r="160" spans="1:10" ht="15" customHeight="1" x14ac:dyDescent="0.25">
      <c r="A160" s="2" t="s">
        <v>62</v>
      </c>
      <c r="B160" s="2" t="s">
        <v>328</v>
      </c>
      <c r="C160" s="2" t="s">
        <v>294</v>
      </c>
      <c r="D160" s="2" t="s">
        <v>295</v>
      </c>
      <c r="E160" s="2" t="s">
        <v>115</v>
      </c>
      <c r="F160" s="2"/>
      <c r="G160" s="4">
        <v>1.6528406920000001</v>
      </c>
      <c r="H160" s="3">
        <v>109.94</v>
      </c>
      <c r="I160" s="3">
        <v>-181.71</v>
      </c>
      <c r="J160" s="3">
        <v>0.28999999999999998</v>
      </c>
    </row>
    <row r="161" spans="1:10" ht="15" customHeight="1" x14ac:dyDescent="0.25">
      <c r="A161" s="2" t="s">
        <v>62</v>
      </c>
      <c r="B161" s="2" t="s">
        <v>328</v>
      </c>
      <c r="C161" s="2" t="s">
        <v>294</v>
      </c>
      <c r="D161" s="2" t="s">
        <v>295</v>
      </c>
      <c r="E161" s="2" t="s">
        <v>125</v>
      </c>
      <c r="F161" s="2"/>
      <c r="G161" s="4">
        <v>16</v>
      </c>
      <c r="H161" s="3">
        <v>11.01</v>
      </c>
      <c r="I161" s="3">
        <v>-176.2</v>
      </c>
      <c r="J161" s="3">
        <v>0.28000000000000003</v>
      </c>
    </row>
    <row r="162" spans="1:10" ht="15" customHeight="1" x14ac:dyDescent="0.25">
      <c r="A162" s="2" t="s">
        <v>62</v>
      </c>
      <c r="B162" s="2" t="s">
        <v>329</v>
      </c>
      <c r="C162" s="2" t="s">
        <v>294</v>
      </c>
      <c r="D162" s="2" t="s">
        <v>295</v>
      </c>
      <c r="E162" s="2" t="s">
        <v>140</v>
      </c>
      <c r="F162" s="2"/>
      <c r="G162" s="4">
        <v>11</v>
      </c>
      <c r="H162" s="3">
        <v>14.35</v>
      </c>
      <c r="I162" s="3">
        <v>-157.81</v>
      </c>
      <c r="J162" s="3"/>
    </row>
    <row r="163" spans="1:10" ht="15" customHeight="1" x14ac:dyDescent="0.25">
      <c r="A163" s="2" t="s">
        <v>62</v>
      </c>
      <c r="B163" s="2" t="s">
        <v>329</v>
      </c>
      <c r="C163" s="2" t="s">
        <v>294</v>
      </c>
      <c r="D163" s="2" t="s">
        <v>295</v>
      </c>
      <c r="E163" s="2" t="s">
        <v>140</v>
      </c>
      <c r="F163" s="2"/>
      <c r="G163" s="4">
        <v>1.735578665</v>
      </c>
      <c r="H163" s="3">
        <v>14.35</v>
      </c>
      <c r="I163" s="3">
        <v>-24.9</v>
      </c>
      <c r="J163" s="3">
        <v>0.28999999999999998</v>
      </c>
    </row>
    <row r="164" spans="1:10" ht="15" customHeight="1" x14ac:dyDescent="0.25">
      <c r="A164" s="2" t="s">
        <v>62</v>
      </c>
      <c r="B164" s="2" t="s">
        <v>329</v>
      </c>
      <c r="C164" s="2" t="s">
        <v>294</v>
      </c>
      <c r="D164" s="2" t="s">
        <v>295</v>
      </c>
      <c r="E164" s="2" t="s">
        <v>160</v>
      </c>
      <c r="F164" s="2"/>
      <c r="G164" s="4">
        <v>7</v>
      </c>
      <c r="H164" s="3">
        <v>24</v>
      </c>
      <c r="I164" s="3">
        <v>-168</v>
      </c>
      <c r="J164" s="3">
        <v>0.27</v>
      </c>
    </row>
    <row r="165" spans="1:10" ht="15" customHeight="1" x14ac:dyDescent="0.25">
      <c r="A165" s="2" t="s">
        <v>62</v>
      </c>
      <c r="B165" s="2" t="s">
        <v>329</v>
      </c>
      <c r="C165" s="2" t="s">
        <v>294</v>
      </c>
      <c r="D165" s="2" t="s">
        <v>295</v>
      </c>
      <c r="E165" s="2" t="s">
        <v>152</v>
      </c>
      <c r="F165" s="2"/>
      <c r="G165" s="4">
        <v>4</v>
      </c>
      <c r="H165" s="3">
        <v>30.54</v>
      </c>
      <c r="I165" s="3">
        <v>-122.16</v>
      </c>
      <c r="J165" s="3"/>
    </row>
    <row r="166" spans="1:10" ht="15" customHeight="1" x14ac:dyDescent="0.25">
      <c r="A166" s="2" t="s">
        <v>62</v>
      </c>
      <c r="B166" s="2" t="s">
        <v>329</v>
      </c>
      <c r="C166" s="2" t="s">
        <v>294</v>
      </c>
      <c r="D166" s="2" t="s">
        <v>295</v>
      </c>
      <c r="E166" s="2" t="s">
        <v>152</v>
      </c>
      <c r="F166" s="2"/>
      <c r="G166" s="4">
        <v>1.9826457099999999</v>
      </c>
      <c r="H166" s="3">
        <v>30.54</v>
      </c>
      <c r="I166" s="3">
        <v>-60.55</v>
      </c>
      <c r="J166" s="3">
        <v>0.28999999999999998</v>
      </c>
    </row>
    <row r="167" spans="1:10" ht="15" customHeight="1" x14ac:dyDescent="0.25">
      <c r="A167" s="2" t="s">
        <v>62</v>
      </c>
      <c r="B167" s="2" t="s">
        <v>329</v>
      </c>
      <c r="C167" s="2" t="s">
        <v>294</v>
      </c>
      <c r="D167" s="2" t="s">
        <v>295</v>
      </c>
      <c r="E167" s="2" t="s">
        <v>145</v>
      </c>
      <c r="F167" s="2"/>
      <c r="G167" s="4">
        <v>6</v>
      </c>
      <c r="H167" s="3">
        <v>23.06</v>
      </c>
      <c r="I167" s="3">
        <v>-138.34</v>
      </c>
      <c r="J167" s="3"/>
    </row>
    <row r="168" spans="1:10" ht="15" customHeight="1" x14ac:dyDescent="0.25">
      <c r="A168" s="2" t="s">
        <v>62</v>
      </c>
      <c r="B168" s="2" t="s">
        <v>329</v>
      </c>
      <c r="C168" s="2" t="s">
        <v>294</v>
      </c>
      <c r="D168" s="2" t="s">
        <v>295</v>
      </c>
      <c r="E168" s="2" t="s">
        <v>145</v>
      </c>
      <c r="F168" s="2"/>
      <c r="G168" s="4">
        <v>1.924378057</v>
      </c>
      <c r="H168" s="3">
        <v>23.06</v>
      </c>
      <c r="I168" s="3">
        <v>-44.37</v>
      </c>
      <c r="J168" s="3">
        <v>0.28999999999999998</v>
      </c>
    </row>
    <row r="169" spans="1:10" ht="15" customHeight="1" x14ac:dyDescent="0.25">
      <c r="A169" s="2" t="s">
        <v>62</v>
      </c>
      <c r="B169" s="2" t="s">
        <v>329</v>
      </c>
      <c r="C169" s="2" t="s">
        <v>294</v>
      </c>
      <c r="D169" s="2" t="s">
        <v>295</v>
      </c>
      <c r="E169" s="2" t="s">
        <v>162</v>
      </c>
      <c r="F169" s="2"/>
      <c r="G169" s="4">
        <v>6</v>
      </c>
      <c r="H169" s="3">
        <v>25.19</v>
      </c>
      <c r="I169" s="3">
        <v>-151.12</v>
      </c>
      <c r="J169" s="3"/>
    </row>
    <row r="170" spans="1:10" ht="15" customHeight="1" x14ac:dyDescent="0.25">
      <c r="A170" s="2" t="s">
        <v>62</v>
      </c>
      <c r="B170" s="2" t="s">
        <v>329</v>
      </c>
      <c r="C170" s="2" t="s">
        <v>294</v>
      </c>
      <c r="D170" s="2" t="s">
        <v>295</v>
      </c>
      <c r="E170" s="2" t="s">
        <v>162</v>
      </c>
      <c r="F170" s="2"/>
      <c r="G170" s="4">
        <v>1.2939163300000001</v>
      </c>
      <c r="H170" s="3">
        <v>25.19</v>
      </c>
      <c r="I170" s="3">
        <v>-32.590000000000003</v>
      </c>
      <c r="J170" s="3">
        <v>0.28999999999999998</v>
      </c>
    </row>
    <row r="171" spans="1:10" ht="15" customHeight="1" x14ac:dyDescent="0.25">
      <c r="A171" s="2" t="s">
        <v>62</v>
      </c>
      <c r="B171" s="2" t="s">
        <v>330</v>
      </c>
      <c r="C171" s="2" t="s">
        <v>294</v>
      </c>
      <c r="D171" s="2" t="s">
        <v>295</v>
      </c>
      <c r="E171" s="2" t="s">
        <v>134</v>
      </c>
      <c r="F171" s="2"/>
      <c r="G171" s="4">
        <v>6</v>
      </c>
      <c r="H171" s="3">
        <v>25.61</v>
      </c>
      <c r="I171" s="3">
        <v>-153.63999999999999</v>
      </c>
      <c r="J171" s="3"/>
    </row>
    <row r="172" spans="1:10" ht="15" customHeight="1" x14ac:dyDescent="0.25">
      <c r="A172" s="2" t="s">
        <v>62</v>
      </c>
      <c r="B172" s="2" t="s">
        <v>330</v>
      </c>
      <c r="C172" s="2" t="s">
        <v>294</v>
      </c>
      <c r="D172" s="2" t="s">
        <v>295</v>
      </c>
      <c r="E172" s="2" t="s">
        <v>134</v>
      </c>
      <c r="F172" s="2"/>
      <c r="G172" s="4">
        <v>1.174297452</v>
      </c>
      <c r="H172" s="3">
        <v>25.61</v>
      </c>
      <c r="I172" s="3">
        <v>-30.07</v>
      </c>
      <c r="J172" s="3">
        <v>0.28999999999999998</v>
      </c>
    </row>
    <row r="173" spans="1:10" ht="15" customHeight="1" x14ac:dyDescent="0.25">
      <c r="A173" s="2" t="s">
        <v>62</v>
      </c>
      <c r="B173" s="2" t="s">
        <v>330</v>
      </c>
      <c r="C173" s="2" t="s">
        <v>294</v>
      </c>
      <c r="D173" s="2" t="s">
        <v>295</v>
      </c>
      <c r="E173" s="2" t="s">
        <v>136</v>
      </c>
      <c r="F173" s="2"/>
      <c r="G173" s="4">
        <v>6</v>
      </c>
      <c r="H173" s="3">
        <v>25.08</v>
      </c>
      <c r="I173" s="3">
        <v>-150.47</v>
      </c>
      <c r="J173" s="3"/>
    </row>
    <row r="174" spans="1:10" ht="15" customHeight="1" x14ac:dyDescent="0.25">
      <c r="A174" s="2" t="s">
        <v>62</v>
      </c>
      <c r="B174" s="2" t="s">
        <v>330</v>
      </c>
      <c r="C174" s="2" t="s">
        <v>294</v>
      </c>
      <c r="D174" s="2" t="s">
        <v>295</v>
      </c>
      <c r="E174" s="2" t="s">
        <v>136</v>
      </c>
      <c r="F174" s="2"/>
      <c r="G174" s="4">
        <v>1.325443409</v>
      </c>
      <c r="H174" s="3">
        <v>25.08</v>
      </c>
      <c r="I174" s="3">
        <v>-33.24</v>
      </c>
      <c r="J174" s="3">
        <v>0.28999999999999998</v>
      </c>
    </row>
    <row r="175" spans="1:10" ht="15" customHeight="1" x14ac:dyDescent="0.25">
      <c r="A175" s="2" t="s">
        <v>62</v>
      </c>
      <c r="B175" s="2" t="s">
        <v>331</v>
      </c>
      <c r="C175" s="2" t="s">
        <v>294</v>
      </c>
      <c r="D175" s="2" t="s">
        <v>295</v>
      </c>
      <c r="E175" s="2" t="s">
        <v>111</v>
      </c>
      <c r="F175" s="2"/>
      <c r="G175" s="4">
        <v>0.32242960399999998</v>
      </c>
      <c r="H175" s="3">
        <v>123.87</v>
      </c>
      <c r="I175" s="3">
        <v>-39.94</v>
      </c>
      <c r="J175" s="3">
        <v>0.06</v>
      </c>
    </row>
    <row r="176" spans="1:10" ht="15" customHeight="1" x14ac:dyDescent="0.25">
      <c r="A176" s="2" t="s">
        <v>62</v>
      </c>
      <c r="B176" s="2" t="s">
        <v>331</v>
      </c>
      <c r="C176" s="2" t="s">
        <v>294</v>
      </c>
      <c r="D176" s="2" t="s">
        <v>295</v>
      </c>
      <c r="E176" s="2" t="s">
        <v>127</v>
      </c>
      <c r="F176" s="2"/>
      <c r="G176" s="4">
        <v>6</v>
      </c>
      <c r="H176" s="3">
        <v>25.45</v>
      </c>
      <c r="I176" s="3">
        <v>-152.69999999999999</v>
      </c>
      <c r="J176" s="3"/>
    </row>
    <row r="177" spans="1:10" ht="15" customHeight="1" x14ac:dyDescent="0.25">
      <c r="A177" s="2" t="s">
        <v>62</v>
      </c>
      <c r="B177" s="2" t="s">
        <v>331</v>
      </c>
      <c r="C177" s="2" t="s">
        <v>294</v>
      </c>
      <c r="D177" s="2" t="s">
        <v>295</v>
      </c>
      <c r="E177" s="2" t="s">
        <v>127</v>
      </c>
      <c r="F177" s="2"/>
      <c r="G177" s="4">
        <v>1.1905837779999999</v>
      </c>
      <c r="H177" s="3">
        <v>25.45</v>
      </c>
      <c r="I177" s="3">
        <v>-30.3</v>
      </c>
      <c r="J177" s="3"/>
    </row>
    <row r="178" spans="1:10" ht="15" customHeight="1" x14ac:dyDescent="0.25">
      <c r="A178" s="2" t="s">
        <v>62</v>
      </c>
      <c r="B178" s="2" t="s">
        <v>331</v>
      </c>
      <c r="C178" s="2" t="s">
        <v>294</v>
      </c>
      <c r="D178" s="2" t="s">
        <v>295</v>
      </c>
      <c r="E178" s="2" t="s">
        <v>132</v>
      </c>
      <c r="F178" s="2"/>
      <c r="G178" s="4">
        <v>12</v>
      </c>
      <c r="H178" s="3">
        <v>14.89</v>
      </c>
      <c r="I178" s="3">
        <v>-178.68</v>
      </c>
      <c r="J178" s="3"/>
    </row>
    <row r="179" spans="1:10" ht="15" customHeight="1" x14ac:dyDescent="0.25">
      <c r="A179" s="2" t="s">
        <v>62</v>
      </c>
      <c r="B179" s="2" t="s">
        <v>331</v>
      </c>
      <c r="C179" s="2" t="s">
        <v>294</v>
      </c>
      <c r="D179" s="2" t="s">
        <v>295</v>
      </c>
      <c r="E179" s="2" t="s">
        <v>143</v>
      </c>
      <c r="F179" s="2"/>
      <c r="G179" s="4">
        <v>2</v>
      </c>
      <c r="H179" s="3">
        <v>50.71</v>
      </c>
      <c r="I179" s="3">
        <v>-101.42</v>
      </c>
      <c r="J179" s="3"/>
    </row>
    <row r="180" spans="1:10" ht="15" customHeight="1" x14ac:dyDescent="0.25">
      <c r="A180" s="2" t="s">
        <v>62</v>
      </c>
      <c r="B180" s="2" t="s">
        <v>331</v>
      </c>
      <c r="C180" s="2" t="s">
        <v>294</v>
      </c>
      <c r="D180" s="2" t="s">
        <v>295</v>
      </c>
      <c r="E180" s="2" t="s">
        <v>143</v>
      </c>
      <c r="F180" s="2"/>
      <c r="G180" s="4">
        <v>1.603036876</v>
      </c>
      <c r="H180" s="3">
        <v>50.71</v>
      </c>
      <c r="I180" s="3">
        <v>-81.290000000000006</v>
      </c>
      <c r="J180" s="3">
        <v>0.28999999999999998</v>
      </c>
    </row>
    <row r="181" spans="1:10" ht="15" customHeight="1" x14ac:dyDescent="0.25">
      <c r="A181" s="2" t="s">
        <v>62</v>
      </c>
      <c r="B181" s="2" t="s">
        <v>331</v>
      </c>
      <c r="C181" s="2" t="s">
        <v>294</v>
      </c>
      <c r="D181" s="2" t="s">
        <v>295</v>
      </c>
      <c r="E181" s="2" t="s">
        <v>113</v>
      </c>
      <c r="F181" s="2"/>
      <c r="G181" s="4">
        <v>0.64599616900000001</v>
      </c>
      <c r="H181" s="3">
        <v>77.28</v>
      </c>
      <c r="I181" s="3">
        <v>-49.92</v>
      </c>
      <c r="J181" s="3">
        <v>0.08</v>
      </c>
    </row>
    <row r="182" spans="1:10" ht="15" customHeight="1" x14ac:dyDescent="0.25">
      <c r="A182" s="2" t="s">
        <v>62</v>
      </c>
      <c r="B182" s="2" t="s">
        <v>331</v>
      </c>
      <c r="C182" s="2" t="s">
        <v>294</v>
      </c>
      <c r="D182" s="2" t="s">
        <v>295</v>
      </c>
      <c r="E182" s="2" t="s">
        <v>129</v>
      </c>
      <c r="F182" s="2"/>
      <c r="G182" s="4">
        <v>3</v>
      </c>
      <c r="H182" s="3">
        <v>50.35</v>
      </c>
      <c r="I182" s="3">
        <v>-151.04</v>
      </c>
      <c r="J182" s="3"/>
    </row>
    <row r="183" spans="1:10" ht="15" customHeight="1" x14ac:dyDescent="0.25">
      <c r="A183" s="2" t="s">
        <v>62</v>
      </c>
      <c r="B183" s="2" t="s">
        <v>331</v>
      </c>
      <c r="C183" s="2" t="s">
        <v>294</v>
      </c>
      <c r="D183" s="2" t="s">
        <v>295</v>
      </c>
      <c r="E183" s="2" t="s">
        <v>117</v>
      </c>
      <c r="F183" s="2"/>
      <c r="G183" s="4">
        <v>19</v>
      </c>
      <c r="H183" s="3">
        <v>18.27</v>
      </c>
      <c r="I183" s="3">
        <v>-347.04</v>
      </c>
      <c r="J183" s="3"/>
    </row>
    <row r="184" spans="1:10" ht="15" customHeight="1" x14ac:dyDescent="0.25">
      <c r="A184" s="2" t="s">
        <v>62</v>
      </c>
      <c r="B184" s="2" t="s">
        <v>331</v>
      </c>
      <c r="C184" s="2" t="s">
        <v>294</v>
      </c>
      <c r="D184" s="2" t="s">
        <v>295</v>
      </c>
      <c r="E184" s="2" t="s">
        <v>117</v>
      </c>
      <c r="F184" s="2"/>
      <c r="G184" s="4">
        <v>1.0604982199999999</v>
      </c>
      <c r="H184" s="3">
        <v>18.27</v>
      </c>
      <c r="I184" s="3">
        <v>-19.37</v>
      </c>
      <c r="J184" s="3">
        <v>0.59</v>
      </c>
    </row>
    <row r="185" spans="1:10" ht="15" customHeight="1" x14ac:dyDescent="0.25">
      <c r="A185" s="2" t="s">
        <v>62</v>
      </c>
      <c r="B185" s="2" t="s">
        <v>331</v>
      </c>
      <c r="C185" s="2" t="s">
        <v>294</v>
      </c>
      <c r="D185" s="2" t="s">
        <v>295</v>
      </c>
      <c r="E185" s="2" t="s">
        <v>123</v>
      </c>
      <c r="F185" s="2"/>
      <c r="G185" s="4">
        <v>4</v>
      </c>
      <c r="H185" s="3">
        <v>16.36</v>
      </c>
      <c r="I185" s="3">
        <v>-65.42</v>
      </c>
      <c r="J185" s="3"/>
    </row>
    <row r="186" spans="1:10" ht="15" customHeight="1" x14ac:dyDescent="0.25">
      <c r="A186" s="2" t="s">
        <v>62</v>
      </c>
      <c r="B186" s="2" t="s">
        <v>331</v>
      </c>
      <c r="C186" s="2" t="s">
        <v>294</v>
      </c>
      <c r="D186" s="2" t="s">
        <v>295</v>
      </c>
      <c r="E186" s="2" t="s">
        <v>123</v>
      </c>
      <c r="F186" s="2"/>
      <c r="G186" s="4">
        <v>1.494344237</v>
      </c>
      <c r="H186" s="3">
        <v>16.36</v>
      </c>
      <c r="I186" s="3">
        <v>-24.44</v>
      </c>
      <c r="J186" s="3">
        <v>0.14000000000000001</v>
      </c>
    </row>
    <row r="187" spans="1:10" ht="15" customHeight="1" x14ac:dyDescent="0.25">
      <c r="A187" s="2" t="s">
        <v>62</v>
      </c>
      <c r="B187" s="2" t="s">
        <v>331</v>
      </c>
      <c r="C187" s="2" t="s">
        <v>294</v>
      </c>
      <c r="D187" s="2" t="s">
        <v>295</v>
      </c>
      <c r="E187" s="2" t="s">
        <v>156</v>
      </c>
      <c r="F187" s="2"/>
      <c r="G187" s="4">
        <v>7</v>
      </c>
      <c r="H187" s="3">
        <v>20.81</v>
      </c>
      <c r="I187" s="3">
        <v>-145.65</v>
      </c>
      <c r="J187" s="3"/>
    </row>
    <row r="188" spans="1:10" ht="15" customHeight="1" x14ac:dyDescent="0.25">
      <c r="A188" s="2" t="s">
        <v>62</v>
      </c>
      <c r="B188" s="2" t="s">
        <v>331</v>
      </c>
      <c r="C188" s="2" t="s">
        <v>294</v>
      </c>
      <c r="D188" s="2" t="s">
        <v>295</v>
      </c>
      <c r="E188" s="2" t="s">
        <v>156</v>
      </c>
      <c r="F188" s="2"/>
      <c r="G188" s="4">
        <v>1.7811227890000001</v>
      </c>
      <c r="H188" s="3">
        <v>20.81</v>
      </c>
      <c r="I188" s="3">
        <v>-37.06</v>
      </c>
      <c r="J188" s="3">
        <v>0.28999999999999998</v>
      </c>
    </row>
    <row r="189" spans="1:10" ht="15" customHeight="1" x14ac:dyDescent="0.25">
      <c r="A189" s="2" t="s">
        <v>62</v>
      </c>
      <c r="B189" s="2" t="s">
        <v>331</v>
      </c>
      <c r="C189" s="2" t="s">
        <v>294</v>
      </c>
      <c r="D189" s="2" t="s">
        <v>295</v>
      </c>
      <c r="E189" s="2" t="s">
        <v>164</v>
      </c>
      <c r="F189" s="2"/>
      <c r="G189" s="4">
        <v>4</v>
      </c>
      <c r="H189" s="3">
        <v>16.93</v>
      </c>
      <c r="I189" s="3">
        <v>-67.72</v>
      </c>
      <c r="J189" s="3"/>
    </row>
    <row r="190" spans="1:10" ht="15" customHeight="1" x14ac:dyDescent="0.25">
      <c r="A190" s="2" t="s">
        <v>62</v>
      </c>
      <c r="B190" s="2" t="s">
        <v>331</v>
      </c>
      <c r="C190" s="2" t="s">
        <v>294</v>
      </c>
      <c r="D190" s="2" t="s">
        <v>295</v>
      </c>
      <c r="E190" s="2" t="s">
        <v>164</v>
      </c>
      <c r="F190" s="2"/>
      <c r="G190" s="4">
        <v>1.307745468</v>
      </c>
      <c r="H190" s="3">
        <v>16.93</v>
      </c>
      <c r="I190" s="3">
        <v>-22.14</v>
      </c>
      <c r="J190" s="3">
        <v>0.14000000000000001</v>
      </c>
    </row>
    <row r="191" spans="1:10" ht="15" customHeight="1" x14ac:dyDescent="0.25">
      <c r="A191" s="2" t="s">
        <v>64</v>
      </c>
      <c r="B191" s="2" t="s">
        <v>332</v>
      </c>
      <c r="C191" s="2" t="s">
        <v>333</v>
      </c>
      <c r="D191" s="2"/>
      <c r="E191" s="2" t="s">
        <v>121</v>
      </c>
      <c r="F191" s="2" t="s">
        <v>334</v>
      </c>
      <c r="G191" s="4">
        <v>-92.870068958000004</v>
      </c>
      <c r="H191" s="3">
        <v>13.51</v>
      </c>
      <c r="I191" s="3"/>
      <c r="J191" s="3"/>
    </row>
    <row r="192" spans="1:10" ht="15" customHeight="1" x14ac:dyDescent="0.25">
      <c r="A192" s="2" t="s">
        <v>64</v>
      </c>
      <c r="B192" s="2" t="s">
        <v>332</v>
      </c>
      <c r="C192" s="2" t="s">
        <v>333</v>
      </c>
      <c r="D192" s="2"/>
      <c r="E192" s="2" t="s">
        <v>121</v>
      </c>
      <c r="F192" s="2" t="s">
        <v>335</v>
      </c>
      <c r="G192" s="4">
        <v>30.956689653000002</v>
      </c>
      <c r="H192" s="3">
        <v>40.53</v>
      </c>
      <c r="I192" s="3"/>
      <c r="J192" s="3"/>
    </row>
    <row r="193" spans="1:10" ht="15" customHeight="1" x14ac:dyDescent="0.25">
      <c r="A193" s="2" t="s">
        <v>64</v>
      </c>
      <c r="B193" s="2" t="s">
        <v>336</v>
      </c>
      <c r="C193" s="2" t="s">
        <v>294</v>
      </c>
      <c r="D193" s="2" t="s">
        <v>295</v>
      </c>
      <c r="E193" s="2" t="s">
        <v>140</v>
      </c>
      <c r="F193" s="2"/>
      <c r="G193" s="4">
        <v>4</v>
      </c>
      <c r="H193" s="3">
        <v>12.25</v>
      </c>
      <c r="I193" s="3">
        <v>-48.99</v>
      </c>
      <c r="J193" s="3"/>
    </row>
    <row r="194" spans="1:10" ht="15" customHeight="1" x14ac:dyDescent="0.25">
      <c r="A194" s="2" t="s">
        <v>64</v>
      </c>
      <c r="B194" s="2" t="s">
        <v>336</v>
      </c>
      <c r="C194" s="2" t="s">
        <v>294</v>
      </c>
      <c r="D194" s="2" t="s">
        <v>295</v>
      </c>
      <c r="E194" s="2" t="s">
        <v>140</v>
      </c>
      <c r="F194" s="2"/>
      <c r="G194" s="4">
        <v>1.8690749339999999</v>
      </c>
      <c r="H194" s="3">
        <v>12.25</v>
      </c>
      <c r="I194" s="3">
        <v>-22.89</v>
      </c>
      <c r="J194" s="3">
        <v>0.12</v>
      </c>
    </row>
    <row r="195" spans="1:10" ht="15" customHeight="1" x14ac:dyDescent="0.25">
      <c r="A195" s="2" t="s">
        <v>64</v>
      </c>
      <c r="B195" s="2" t="s">
        <v>336</v>
      </c>
      <c r="C195" s="2" t="s">
        <v>294</v>
      </c>
      <c r="D195" s="2" t="s">
        <v>295</v>
      </c>
      <c r="E195" s="2" t="s">
        <v>145</v>
      </c>
      <c r="F195" s="2"/>
      <c r="G195" s="4">
        <v>2</v>
      </c>
      <c r="H195" s="3">
        <v>21.56</v>
      </c>
      <c r="I195" s="3">
        <v>-43.12</v>
      </c>
      <c r="J195" s="3"/>
    </row>
    <row r="196" spans="1:10" ht="15" customHeight="1" x14ac:dyDescent="0.25">
      <c r="A196" s="2" t="s">
        <v>64</v>
      </c>
      <c r="B196" s="2" t="s">
        <v>336</v>
      </c>
      <c r="C196" s="2" t="s">
        <v>294</v>
      </c>
      <c r="D196" s="2" t="s">
        <v>295</v>
      </c>
      <c r="E196" s="2" t="s">
        <v>145</v>
      </c>
      <c r="F196" s="2"/>
      <c r="G196" s="4">
        <v>1.334038388</v>
      </c>
      <c r="H196" s="3">
        <v>21.56</v>
      </c>
      <c r="I196" s="3">
        <v>-28.76</v>
      </c>
      <c r="J196" s="3">
        <v>0.12</v>
      </c>
    </row>
    <row r="197" spans="1:10" ht="15" customHeight="1" x14ac:dyDescent="0.25">
      <c r="A197" s="2" t="s">
        <v>64</v>
      </c>
      <c r="B197" s="2" t="s">
        <v>336</v>
      </c>
      <c r="C197" s="2" t="s">
        <v>294</v>
      </c>
      <c r="D197" s="2" t="s">
        <v>295</v>
      </c>
      <c r="E197" s="2" t="s">
        <v>175</v>
      </c>
      <c r="F197" s="2"/>
      <c r="G197" s="4">
        <v>1</v>
      </c>
      <c r="H197" s="3">
        <v>66.14</v>
      </c>
      <c r="I197" s="3">
        <v>-66.14</v>
      </c>
      <c r="J197" s="3"/>
    </row>
    <row r="198" spans="1:10" ht="15" customHeight="1" x14ac:dyDescent="0.25">
      <c r="A198" s="2" t="s">
        <v>64</v>
      </c>
      <c r="B198" s="2" t="s">
        <v>336</v>
      </c>
      <c r="C198" s="2" t="s">
        <v>294</v>
      </c>
      <c r="D198" s="2" t="s">
        <v>295</v>
      </c>
      <c r="E198" s="2" t="s">
        <v>175</v>
      </c>
      <c r="F198" s="2"/>
      <c r="G198" s="4">
        <v>1.1737224070000001</v>
      </c>
      <c r="H198" s="3">
        <v>66.14</v>
      </c>
      <c r="I198" s="3">
        <v>-77.63</v>
      </c>
      <c r="J198" s="3">
        <v>0.23</v>
      </c>
    </row>
    <row r="199" spans="1:10" ht="15" customHeight="1" x14ac:dyDescent="0.25">
      <c r="A199" s="2" t="s">
        <v>64</v>
      </c>
      <c r="B199" s="2" t="s">
        <v>337</v>
      </c>
      <c r="C199" s="2" t="s">
        <v>294</v>
      </c>
      <c r="D199" s="2" t="s">
        <v>295</v>
      </c>
      <c r="E199" s="2" t="s">
        <v>111</v>
      </c>
      <c r="F199" s="2"/>
      <c r="G199" s="4">
        <v>0.67070631000000003</v>
      </c>
      <c r="H199" s="3">
        <v>148.86000000000001</v>
      </c>
      <c r="I199" s="3">
        <v>-99.84</v>
      </c>
      <c r="J199" s="3">
        <v>0.16</v>
      </c>
    </row>
    <row r="200" spans="1:10" ht="15" customHeight="1" x14ac:dyDescent="0.25">
      <c r="A200" s="2" t="s">
        <v>64</v>
      </c>
      <c r="B200" s="2" t="s">
        <v>337</v>
      </c>
      <c r="C200" s="2" t="s">
        <v>294</v>
      </c>
      <c r="D200" s="2" t="s">
        <v>295</v>
      </c>
      <c r="E200" s="2" t="s">
        <v>113</v>
      </c>
      <c r="F200" s="2"/>
      <c r="G200" s="4">
        <v>1.261753108</v>
      </c>
      <c r="H200" s="3">
        <v>79.13</v>
      </c>
      <c r="I200" s="3">
        <v>-99.84</v>
      </c>
      <c r="J200" s="3">
        <v>0.16</v>
      </c>
    </row>
    <row r="201" spans="1:10" ht="15" customHeight="1" x14ac:dyDescent="0.25">
      <c r="A201" s="2" t="s">
        <v>64</v>
      </c>
      <c r="B201" s="2" t="s">
        <v>337</v>
      </c>
      <c r="C201" s="2" t="s">
        <v>294</v>
      </c>
      <c r="D201" s="2" t="s">
        <v>295</v>
      </c>
      <c r="E201" s="2" t="s">
        <v>175</v>
      </c>
      <c r="F201" s="2"/>
      <c r="G201" s="4">
        <v>1.412084181</v>
      </c>
      <c r="H201" s="3">
        <v>70.7</v>
      </c>
      <c r="I201" s="3">
        <v>-99.84</v>
      </c>
      <c r="J201" s="3">
        <v>0.16</v>
      </c>
    </row>
    <row r="202" spans="1:10" ht="15" customHeight="1" x14ac:dyDescent="0.25">
      <c r="A202" s="2" t="s">
        <v>64</v>
      </c>
      <c r="B202" s="2" t="s">
        <v>338</v>
      </c>
      <c r="C202" s="2" t="s">
        <v>294</v>
      </c>
      <c r="D202" s="2" t="s">
        <v>295</v>
      </c>
      <c r="E202" s="2" t="s">
        <v>134</v>
      </c>
      <c r="F202" s="2"/>
      <c r="G202" s="4">
        <v>4</v>
      </c>
      <c r="H202" s="3">
        <v>25.6</v>
      </c>
      <c r="I202" s="3">
        <v>-102.4</v>
      </c>
      <c r="J202" s="3"/>
    </row>
    <row r="203" spans="1:10" ht="15" customHeight="1" x14ac:dyDescent="0.25">
      <c r="A203" s="2" t="s">
        <v>64</v>
      </c>
      <c r="B203" s="2" t="s">
        <v>338</v>
      </c>
      <c r="C203" s="2" t="s">
        <v>294</v>
      </c>
      <c r="D203" s="2" t="s">
        <v>295</v>
      </c>
      <c r="E203" s="2" t="s">
        <v>134</v>
      </c>
      <c r="F203" s="2"/>
      <c r="G203" s="4">
        <v>1.7719442160000001</v>
      </c>
      <c r="H203" s="3">
        <v>25.6</v>
      </c>
      <c r="I203" s="3">
        <v>-45.36</v>
      </c>
      <c r="J203" s="3">
        <v>0.24</v>
      </c>
    </row>
    <row r="204" spans="1:10" ht="15" customHeight="1" x14ac:dyDescent="0.25">
      <c r="A204" s="2" t="s">
        <v>64</v>
      </c>
      <c r="B204" s="2" t="s">
        <v>338</v>
      </c>
      <c r="C204" s="2" t="s">
        <v>294</v>
      </c>
      <c r="D204" s="2" t="s">
        <v>295</v>
      </c>
      <c r="E204" s="2" t="s">
        <v>136</v>
      </c>
      <c r="F204" s="2"/>
      <c r="G204" s="4">
        <v>1</v>
      </c>
      <c r="H204" s="3">
        <v>25.09</v>
      </c>
      <c r="I204" s="3">
        <v>-25.09</v>
      </c>
      <c r="J204" s="3"/>
    </row>
    <row r="205" spans="1:10" ht="15" customHeight="1" x14ac:dyDescent="0.25">
      <c r="A205" s="2" t="s">
        <v>64</v>
      </c>
      <c r="B205" s="2" t="s">
        <v>338</v>
      </c>
      <c r="C205" s="2" t="s">
        <v>294</v>
      </c>
      <c r="D205" s="2" t="s">
        <v>295</v>
      </c>
      <c r="E205" s="2" t="s">
        <v>136</v>
      </c>
      <c r="F205" s="2"/>
      <c r="G205" s="4">
        <v>1.9449870440000001</v>
      </c>
      <c r="H205" s="3">
        <v>25.09</v>
      </c>
      <c r="I205" s="3">
        <v>-48.79</v>
      </c>
      <c r="J205" s="3">
        <v>0.12</v>
      </c>
    </row>
    <row r="206" spans="1:10" ht="15" customHeight="1" x14ac:dyDescent="0.25">
      <c r="A206" s="2" t="s">
        <v>64</v>
      </c>
      <c r="B206" s="2" t="s">
        <v>339</v>
      </c>
      <c r="C206" s="2" t="s">
        <v>294</v>
      </c>
      <c r="D206" s="2" t="s">
        <v>295</v>
      </c>
      <c r="E206" s="2" t="s">
        <v>170</v>
      </c>
      <c r="F206" s="2"/>
      <c r="G206" s="4">
        <v>1</v>
      </c>
      <c r="H206" s="3">
        <v>47.56</v>
      </c>
      <c r="I206" s="3">
        <v>-47.56</v>
      </c>
      <c r="J206" s="3"/>
    </row>
    <row r="207" spans="1:10" ht="15" customHeight="1" x14ac:dyDescent="0.25">
      <c r="A207" s="2" t="s">
        <v>64</v>
      </c>
      <c r="B207" s="2" t="s">
        <v>339</v>
      </c>
      <c r="C207" s="2" t="s">
        <v>294</v>
      </c>
      <c r="D207" s="2" t="s">
        <v>295</v>
      </c>
      <c r="E207" s="2" t="s">
        <v>170</v>
      </c>
      <c r="F207" s="2"/>
      <c r="G207" s="4">
        <v>1.0993170269999999</v>
      </c>
      <c r="H207" s="3">
        <v>47.56</v>
      </c>
      <c r="I207" s="3">
        <v>-52.28</v>
      </c>
      <c r="J207" s="3">
        <v>0.16</v>
      </c>
    </row>
    <row r="208" spans="1:10" ht="15" customHeight="1" x14ac:dyDescent="0.25">
      <c r="A208" s="2" t="s">
        <v>64</v>
      </c>
      <c r="B208" s="2" t="s">
        <v>340</v>
      </c>
      <c r="C208" s="2" t="s">
        <v>294</v>
      </c>
      <c r="D208" s="2" t="s">
        <v>295</v>
      </c>
      <c r="E208" s="2" t="s">
        <v>173</v>
      </c>
      <c r="F208" s="2"/>
      <c r="G208" s="4">
        <v>2</v>
      </c>
      <c r="H208" s="3">
        <v>63.45</v>
      </c>
      <c r="I208" s="3">
        <v>-126.9</v>
      </c>
      <c r="J208" s="3"/>
    </row>
    <row r="209" spans="1:10" ht="15" customHeight="1" x14ac:dyDescent="0.25">
      <c r="A209" s="2" t="s">
        <v>64</v>
      </c>
      <c r="B209" s="2" t="s">
        <v>340</v>
      </c>
      <c r="C209" s="2" t="s">
        <v>294</v>
      </c>
      <c r="D209" s="2" t="s">
        <v>295</v>
      </c>
      <c r="E209" s="2" t="s">
        <v>173</v>
      </c>
      <c r="F209" s="2"/>
      <c r="G209" s="4">
        <v>1.147079266</v>
      </c>
      <c r="H209" s="3">
        <v>63.45</v>
      </c>
      <c r="I209" s="3">
        <v>-72.78</v>
      </c>
      <c r="J209" s="3">
        <v>0.32</v>
      </c>
    </row>
    <row r="210" spans="1:10" ht="15" customHeight="1" x14ac:dyDescent="0.25">
      <c r="A210" s="2" t="s">
        <v>64</v>
      </c>
      <c r="B210" s="2" t="s">
        <v>341</v>
      </c>
      <c r="C210" s="2" t="s">
        <v>294</v>
      </c>
      <c r="D210" s="2" t="s">
        <v>295</v>
      </c>
      <c r="E210" s="2" t="s">
        <v>156</v>
      </c>
      <c r="F210" s="2"/>
      <c r="G210" s="4">
        <v>2</v>
      </c>
      <c r="H210" s="3">
        <v>21.18</v>
      </c>
      <c r="I210" s="3">
        <v>-42.35</v>
      </c>
      <c r="J210" s="3"/>
    </row>
    <row r="211" spans="1:10" ht="15" customHeight="1" x14ac:dyDescent="0.25">
      <c r="A211" s="2" t="s">
        <v>64</v>
      </c>
      <c r="B211" s="2" t="s">
        <v>341</v>
      </c>
      <c r="C211" s="2" t="s">
        <v>294</v>
      </c>
      <c r="D211" s="2" t="s">
        <v>295</v>
      </c>
      <c r="E211" s="2" t="s">
        <v>156</v>
      </c>
      <c r="F211" s="2"/>
      <c r="G211" s="4">
        <v>1.7717502169999999</v>
      </c>
      <c r="H211" s="3">
        <v>21.18</v>
      </c>
      <c r="I211" s="3">
        <v>-37.520000000000003</v>
      </c>
      <c r="J211" s="3">
        <v>0.13</v>
      </c>
    </row>
    <row r="212" spans="1:10" ht="15" customHeight="1" x14ac:dyDescent="0.25">
      <c r="A212" s="2" t="s">
        <v>64</v>
      </c>
      <c r="B212" s="2" t="s">
        <v>342</v>
      </c>
      <c r="C212" s="2" t="s">
        <v>294</v>
      </c>
      <c r="D212" s="2" t="s">
        <v>295</v>
      </c>
      <c r="E212" s="2" t="s">
        <v>168</v>
      </c>
      <c r="F212" s="2"/>
      <c r="G212" s="4">
        <v>2</v>
      </c>
      <c r="H212" s="3">
        <v>49.23</v>
      </c>
      <c r="I212" s="3">
        <v>-98.45</v>
      </c>
      <c r="J212" s="3"/>
    </row>
    <row r="213" spans="1:10" ht="15" customHeight="1" x14ac:dyDescent="0.25">
      <c r="A213" s="2" t="s">
        <v>64</v>
      </c>
      <c r="B213" s="2" t="s">
        <v>342</v>
      </c>
      <c r="C213" s="2" t="s">
        <v>294</v>
      </c>
      <c r="D213" s="2" t="s">
        <v>295</v>
      </c>
      <c r="E213" s="2" t="s">
        <v>168</v>
      </c>
      <c r="F213" s="2"/>
      <c r="G213" s="4">
        <v>1.0423184109999999</v>
      </c>
      <c r="H213" s="3">
        <v>49.23</v>
      </c>
      <c r="I213" s="3">
        <v>-51.31</v>
      </c>
      <c r="J213" s="3">
        <v>0.24</v>
      </c>
    </row>
    <row r="214" spans="1:10" ht="15" customHeight="1" x14ac:dyDescent="0.25">
      <c r="A214" s="2" t="s">
        <v>64</v>
      </c>
      <c r="B214" s="2" t="s">
        <v>342</v>
      </c>
      <c r="C214" s="2" t="s">
        <v>294</v>
      </c>
      <c r="D214" s="2" t="s">
        <v>295</v>
      </c>
      <c r="E214" s="2" t="s">
        <v>170</v>
      </c>
      <c r="F214" s="2"/>
      <c r="G214" s="4">
        <v>1.6762508389999999</v>
      </c>
      <c r="H214" s="3">
        <v>47.65</v>
      </c>
      <c r="I214" s="3">
        <v>-79.87</v>
      </c>
      <c r="J214" s="3">
        <v>0.13</v>
      </c>
    </row>
    <row r="215" spans="1:10" ht="15" customHeight="1" x14ac:dyDescent="0.25">
      <c r="A215" s="2" t="s">
        <v>64</v>
      </c>
      <c r="B215" s="2" t="s">
        <v>342</v>
      </c>
      <c r="C215" s="2" t="s">
        <v>294</v>
      </c>
      <c r="D215" s="2" t="s">
        <v>295</v>
      </c>
      <c r="E215" s="2" t="s">
        <v>156</v>
      </c>
      <c r="F215" s="2"/>
      <c r="G215" s="4">
        <v>5</v>
      </c>
      <c r="H215" s="3">
        <v>21.53</v>
      </c>
      <c r="I215" s="3">
        <v>-107.64</v>
      </c>
      <c r="J215" s="3"/>
    </row>
    <row r="216" spans="1:10" ht="15" customHeight="1" x14ac:dyDescent="0.25">
      <c r="A216" s="2" t="s">
        <v>64</v>
      </c>
      <c r="B216" s="2" t="s">
        <v>342</v>
      </c>
      <c r="C216" s="2" t="s">
        <v>294</v>
      </c>
      <c r="D216" s="2" t="s">
        <v>295</v>
      </c>
      <c r="E216" s="2" t="s">
        <v>156</v>
      </c>
      <c r="F216" s="2"/>
      <c r="G216" s="4">
        <v>1.956567181</v>
      </c>
      <c r="H216" s="3">
        <v>21.53</v>
      </c>
      <c r="I216" s="3">
        <v>-42.12</v>
      </c>
      <c r="J216" s="3">
        <v>0.24</v>
      </c>
    </row>
    <row r="217" spans="1:10" ht="15" customHeight="1" x14ac:dyDescent="0.25">
      <c r="A217" s="2" t="s">
        <v>64</v>
      </c>
      <c r="B217" s="2" t="s">
        <v>342</v>
      </c>
      <c r="C217" s="2" t="s">
        <v>294</v>
      </c>
      <c r="D217" s="2" t="s">
        <v>295</v>
      </c>
      <c r="E217" s="2" t="s">
        <v>177</v>
      </c>
      <c r="F217" s="2"/>
      <c r="G217" s="4">
        <v>1.061371047</v>
      </c>
      <c r="H217" s="3">
        <v>209.15</v>
      </c>
      <c r="I217" s="3">
        <v>-221.99</v>
      </c>
      <c r="J217" s="3">
        <v>0.36</v>
      </c>
    </row>
    <row r="218" spans="1:10" ht="15" customHeight="1" x14ac:dyDescent="0.25">
      <c r="A218" s="2" t="s">
        <v>66</v>
      </c>
      <c r="B218" s="2" t="s">
        <v>343</v>
      </c>
      <c r="C218" s="2" t="s">
        <v>294</v>
      </c>
      <c r="D218" s="2" t="s">
        <v>295</v>
      </c>
      <c r="E218" s="2" t="s">
        <v>168</v>
      </c>
      <c r="F218" s="2"/>
      <c r="G218" s="4">
        <v>4</v>
      </c>
      <c r="H218" s="3">
        <v>49.24</v>
      </c>
      <c r="I218" s="3">
        <v>-196.95</v>
      </c>
      <c r="J218" s="3"/>
    </row>
    <row r="219" spans="1:10" ht="15" customHeight="1" x14ac:dyDescent="0.25">
      <c r="A219" s="2" t="s">
        <v>66</v>
      </c>
      <c r="B219" s="2" t="s">
        <v>343</v>
      </c>
      <c r="C219" s="2" t="s">
        <v>294</v>
      </c>
      <c r="D219" s="2" t="s">
        <v>295</v>
      </c>
      <c r="E219" s="2" t="s">
        <v>168</v>
      </c>
      <c r="F219" s="2"/>
      <c r="G219" s="4">
        <v>1.9818710989999999</v>
      </c>
      <c r="H219" s="3">
        <v>49.24</v>
      </c>
      <c r="I219" s="3">
        <v>-97.58</v>
      </c>
      <c r="J219" s="3">
        <v>0.47</v>
      </c>
    </row>
    <row r="220" spans="1:10" ht="15" customHeight="1" x14ac:dyDescent="0.25">
      <c r="A220" s="2" t="s">
        <v>66</v>
      </c>
      <c r="B220" s="2" t="s">
        <v>343</v>
      </c>
      <c r="C220" s="2" t="s">
        <v>294</v>
      </c>
      <c r="D220" s="2" t="s">
        <v>295</v>
      </c>
      <c r="E220" s="2" t="s">
        <v>127</v>
      </c>
      <c r="F220" s="2"/>
      <c r="G220" s="4">
        <v>10</v>
      </c>
      <c r="H220" s="3">
        <v>25.45</v>
      </c>
      <c r="I220" s="3">
        <v>-254.5</v>
      </c>
      <c r="J220" s="3"/>
    </row>
    <row r="221" spans="1:10" ht="15" customHeight="1" x14ac:dyDescent="0.25">
      <c r="A221" s="2" t="s">
        <v>66</v>
      </c>
      <c r="B221" s="2" t="s">
        <v>343</v>
      </c>
      <c r="C221" s="2" t="s">
        <v>294</v>
      </c>
      <c r="D221" s="2" t="s">
        <v>295</v>
      </c>
      <c r="E221" s="2" t="s">
        <v>127</v>
      </c>
      <c r="F221" s="2"/>
      <c r="G221" s="4">
        <v>1.5520811640000001</v>
      </c>
      <c r="H221" s="3">
        <v>25.45</v>
      </c>
      <c r="I221" s="3">
        <v>-39.5</v>
      </c>
      <c r="J221" s="3"/>
    </row>
    <row r="222" spans="1:10" ht="15" customHeight="1" x14ac:dyDescent="0.25">
      <c r="A222" s="2" t="s">
        <v>66</v>
      </c>
      <c r="B222" s="2" t="s">
        <v>343</v>
      </c>
      <c r="C222" s="2" t="s">
        <v>294</v>
      </c>
      <c r="D222" s="2" t="s">
        <v>295</v>
      </c>
      <c r="E222" s="2" t="s">
        <v>143</v>
      </c>
      <c r="F222" s="2"/>
      <c r="G222" s="4">
        <v>4</v>
      </c>
      <c r="H222" s="3">
        <v>50.84</v>
      </c>
      <c r="I222" s="3">
        <v>-203.35</v>
      </c>
      <c r="J222" s="3"/>
    </row>
    <row r="223" spans="1:10" ht="15" customHeight="1" x14ac:dyDescent="0.25">
      <c r="A223" s="2" t="s">
        <v>66</v>
      </c>
      <c r="B223" s="2" t="s">
        <v>343</v>
      </c>
      <c r="C223" s="2" t="s">
        <v>294</v>
      </c>
      <c r="D223" s="2" t="s">
        <v>295</v>
      </c>
      <c r="E223" s="2" t="s">
        <v>143</v>
      </c>
      <c r="F223" s="2"/>
      <c r="G223" s="4">
        <v>1.773929259</v>
      </c>
      <c r="H223" s="3">
        <v>50.84</v>
      </c>
      <c r="I223" s="3">
        <v>-90.18</v>
      </c>
      <c r="J223" s="3">
        <v>0.47</v>
      </c>
    </row>
    <row r="224" spans="1:10" ht="15" customHeight="1" x14ac:dyDescent="0.25">
      <c r="A224" s="2" t="s">
        <v>66</v>
      </c>
      <c r="B224" s="2" t="s">
        <v>343</v>
      </c>
      <c r="C224" s="2" t="s">
        <v>294</v>
      </c>
      <c r="D224" s="2" t="s">
        <v>295</v>
      </c>
      <c r="E224" s="2" t="s">
        <v>160</v>
      </c>
      <c r="F224" s="2"/>
      <c r="G224" s="4">
        <v>3</v>
      </c>
      <c r="H224" s="3">
        <v>23.87</v>
      </c>
      <c r="I224" s="3">
        <v>-71.61</v>
      </c>
      <c r="J224" s="3">
        <v>0.11</v>
      </c>
    </row>
    <row r="225" spans="1:10" ht="15" customHeight="1" x14ac:dyDescent="0.25">
      <c r="A225" s="2" t="s">
        <v>66</v>
      </c>
      <c r="B225" s="2" t="s">
        <v>343</v>
      </c>
      <c r="C225" s="2" t="s">
        <v>294</v>
      </c>
      <c r="D225" s="2" t="s">
        <v>295</v>
      </c>
      <c r="E225" s="2" t="s">
        <v>129</v>
      </c>
      <c r="F225" s="2"/>
      <c r="G225" s="4">
        <v>4</v>
      </c>
      <c r="H225" s="3">
        <v>50.45</v>
      </c>
      <c r="I225" s="3">
        <v>-201.79</v>
      </c>
      <c r="J225" s="3">
        <v>0.33</v>
      </c>
    </row>
    <row r="226" spans="1:10" ht="15" customHeight="1" x14ac:dyDescent="0.25">
      <c r="A226" s="2" t="s">
        <v>66</v>
      </c>
      <c r="B226" s="2" t="s">
        <v>343</v>
      </c>
      <c r="C226" s="2" t="s">
        <v>294</v>
      </c>
      <c r="D226" s="2" t="s">
        <v>295</v>
      </c>
      <c r="E226" s="2" t="s">
        <v>119</v>
      </c>
      <c r="F226" s="2"/>
      <c r="G226" s="4">
        <v>1</v>
      </c>
      <c r="H226" s="3">
        <v>100.34</v>
      </c>
      <c r="I226" s="3">
        <v>-100.34</v>
      </c>
      <c r="J226" s="3"/>
    </row>
    <row r="227" spans="1:10" ht="15" customHeight="1" x14ac:dyDescent="0.25">
      <c r="A227" s="2" t="s">
        <v>66</v>
      </c>
      <c r="B227" s="2" t="s">
        <v>343</v>
      </c>
      <c r="C227" s="2" t="s">
        <v>294</v>
      </c>
      <c r="D227" s="2" t="s">
        <v>295</v>
      </c>
      <c r="E227" s="2" t="s">
        <v>119</v>
      </c>
      <c r="F227" s="2"/>
      <c r="G227" s="4">
        <v>1.9301090430000001</v>
      </c>
      <c r="H227" s="3">
        <v>100.34</v>
      </c>
      <c r="I227" s="3">
        <v>-193.66</v>
      </c>
      <c r="J227" s="3"/>
    </row>
    <row r="228" spans="1:10" ht="15" customHeight="1" x14ac:dyDescent="0.25">
      <c r="A228" s="2" t="s">
        <v>66</v>
      </c>
      <c r="B228" s="2" t="s">
        <v>343</v>
      </c>
      <c r="C228" s="2" t="s">
        <v>294</v>
      </c>
      <c r="D228" s="2" t="s">
        <v>295</v>
      </c>
      <c r="E228" s="2" t="s">
        <v>115</v>
      </c>
      <c r="F228" s="2"/>
      <c r="G228" s="4">
        <v>1</v>
      </c>
      <c r="H228" s="3">
        <v>110.12</v>
      </c>
      <c r="I228" s="3">
        <v>-110.12</v>
      </c>
      <c r="J228" s="3"/>
    </row>
    <row r="229" spans="1:10" ht="15" customHeight="1" x14ac:dyDescent="0.25">
      <c r="A229" s="2" t="s">
        <v>66</v>
      </c>
      <c r="B229" s="2" t="s">
        <v>343</v>
      </c>
      <c r="C229" s="2" t="s">
        <v>294</v>
      </c>
      <c r="D229" s="2" t="s">
        <v>295</v>
      </c>
      <c r="E229" s="2" t="s">
        <v>115</v>
      </c>
      <c r="F229" s="2"/>
      <c r="G229" s="4">
        <v>1.669886019</v>
      </c>
      <c r="H229" s="3">
        <v>110.12</v>
      </c>
      <c r="I229" s="3">
        <v>-183.88</v>
      </c>
      <c r="J229" s="3"/>
    </row>
    <row r="230" spans="1:10" ht="15" customHeight="1" x14ac:dyDescent="0.25">
      <c r="A230" s="2" t="s">
        <v>66</v>
      </c>
      <c r="B230" s="2" t="s">
        <v>343</v>
      </c>
      <c r="C230" s="2" t="s">
        <v>294</v>
      </c>
      <c r="D230" s="2" t="s">
        <v>295</v>
      </c>
      <c r="E230" s="2" t="s">
        <v>162</v>
      </c>
      <c r="F230" s="2"/>
      <c r="G230" s="4">
        <v>4</v>
      </c>
      <c r="H230" s="3">
        <v>25.39</v>
      </c>
      <c r="I230" s="3">
        <v>-101.54</v>
      </c>
      <c r="J230" s="3"/>
    </row>
    <row r="231" spans="1:10" ht="15" customHeight="1" x14ac:dyDescent="0.25">
      <c r="A231" s="2" t="s">
        <v>66</v>
      </c>
      <c r="B231" s="2" t="s">
        <v>343</v>
      </c>
      <c r="C231" s="2" t="s">
        <v>294</v>
      </c>
      <c r="D231" s="2" t="s">
        <v>295</v>
      </c>
      <c r="E231" s="2" t="s">
        <v>162</v>
      </c>
      <c r="F231" s="2"/>
      <c r="G231" s="4">
        <v>1.7813669480000001</v>
      </c>
      <c r="H231" s="3">
        <v>25.39</v>
      </c>
      <c r="I231" s="3">
        <v>-45.22</v>
      </c>
      <c r="J231" s="3">
        <v>0.24</v>
      </c>
    </row>
    <row r="232" spans="1:10" ht="15" customHeight="1" x14ac:dyDescent="0.25">
      <c r="A232" s="2" t="s">
        <v>66</v>
      </c>
      <c r="B232" s="2" t="s">
        <v>343</v>
      </c>
      <c r="C232" s="2" t="s">
        <v>294</v>
      </c>
      <c r="D232" s="2" t="s">
        <v>295</v>
      </c>
      <c r="E232" s="2" t="s">
        <v>156</v>
      </c>
      <c r="F232" s="2"/>
      <c r="G232" s="4">
        <v>6</v>
      </c>
      <c r="H232" s="3">
        <v>20.95</v>
      </c>
      <c r="I232" s="3">
        <v>-125.7</v>
      </c>
      <c r="J232" s="3"/>
    </row>
    <row r="233" spans="1:10" ht="15" customHeight="1" x14ac:dyDescent="0.25">
      <c r="A233" s="2" t="s">
        <v>66</v>
      </c>
      <c r="B233" s="2" t="s">
        <v>343</v>
      </c>
      <c r="C233" s="2" t="s">
        <v>294</v>
      </c>
      <c r="D233" s="2" t="s">
        <v>295</v>
      </c>
      <c r="E233" s="2" t="s">
        <v>156</v>
      </c>
      <c r="F233" s="2"/>
      <c r="G233" s="4">
        <v>1.0052889840000001</v>
      </c>
      <c r="H233" s="3">
        <v>20.95</v>
      </c>
      <c r="I233" s="3">
        <v>-21.06</v>
      </c>
      <c r="J233" s="3">
        <v>0.24</v>
      </c>
    </row>
    <row r="234" spans="1:10" ht="15" customHeight="1" x14ac:dyDescent="0.25">
      <c r="A234" s="2" t="s">
        <v>66</v>
      </c>
      <c r="B234" s="2" t="s">
        <v>344</v>
      </c>
      <c r="C234" s="2" t="s">
        <v>294</v>
      </c>
      <c r="D234" s="2" t="s">
        <v>345</v>
      </c>
      <c r="E234" s="2" t="s">
        <v>168</v>
      </c>
      <c r="F234" s="2"/>
      <c r="G234" s="4">
        <v>-9</v>
      </c>
      <c r="H234" s="3">
        <v>49.37</v>
      </c>
      <c r="I234" s="3">
        <v>444.36</v>
      </c>
      <c r="J234" s="3"/>
    </row>
    <row r="235" spans="1:10" ht="15" customHeight="1" x14ac:dyDescent="0.25">
      <c r="A235" s="2" t="s">
        <v>66</v>
      </c>
      <c r="B235" s="2" t="s">
        <v>344</v>
      </c>
      <c r="C235" s="2" t="s">
        <v>294</v>
      </c>
      <c r="D235" s="2" t="s">
        <v>345</v>
      </c>
      <c r="E235" s="2" t="s">
        <v>168</v>
      </c>
      <c r="F235" s="2"/>
      <c r="G235" s="4">
        <v>-2.4189510000000001E-2</v>
      </c>
      <c r="H235" s="3">
        <v>49.37</v>
      </c>
      <c r="I235" s="3">
        <v>1.19</v>
      </c>
      <c r="J235" s="3">
        <v>0.72</v>
      </c>
    </row>
    <row r="236" spans="1:10" ht="15" customHeight="1" x14ac:dyDescent="0.25">
      <c r="A236" s="2" t="s">
        <v>66</v>
      </c>
      <c r="B236" s="2" t="s">
        <v>344</v>
      </c>
      <c r="C236" s="2" t="s">
        <v>294</v>
      </c>
      <c r="D236" s="2" t="s">
        <v>295</v>
      </c>
      <c r="E236" s="2" t="s">
        <v>179</v>
      </c>
      <c r="F236" s="2"/>
      <c r="G236" s="4">
        <v>6</v>
      </c>
      <c r="H236" s="3">
        <v>24.66</v>
      </c>
      <c r="I236" s="3">
        <v>-147.94999999999999</v>
      </c>
      <c r="J236" s="3">
        <v>0.24</v>
      </c>
    </row>
    <row r="237" spans="1:10" ht="15" customHeight="1" x14ac:dyDescent="0.25">
      <c r="A237" s="2" t="s">
        <v>66</v>
      </c>
      <c r="B237" s="2" t="s">
        <v>344</v>
      </c>
      <c r="C237" s="2" t="s">
        <v>294</v>
      </c>
      <c r="D237" s="2" t="s">
        <v>295</v>
      </c>
      <c r="E237" s="2" t="s">
        <v>179</v>
      </c>
      <c r="F237" s="2"/>
      <c r="G237" s="4">
        <v>6</v>
      </c>
      <c r="H237" s="3">
        <v>24.65</v>
      </c>
      <c r="I237" s="3">
        <v>-147.9</v>
      </c>
      <c r="J237" s="3">
        <v>0.24</v>
      </c>
    </row>
    <row r="238" spans="1:10" ht="15" customHeight="1" x14ac:dyDescent="0.25">
      <c r="A238" s="2" t="s">
        <v>66</v>
      </c>
      <c r="B238" s="2" t="s">
        <v>346</v>
      </c>
      <c r="C238" s="2" t="s">
        <v>294</v>
      </c>
      <c r="D238" s="2" t="s">
        <v>295</v>
      </c>
      <c r="E238" s="2" t="s">
        <v>181</v>
      </c>
      <c r="F238" s="2"/>
      <c r="G238" s="4">
        <v>8</v>
      </c>
      <c r="H238" s="3">
        <v>26.04</v>
      </c>
      <c r="I238" s="3">
        <v>-208.3</v>
      </c>
      <c r="J238" s="3"/>
    </row>
    <row r="239" spans="1:10" ht="15" customHeight="1" x14ac:dyDescent="0.25">
      <c r="A239" s="2" t="s">
        <v>66</v>
      </c>
      <c r="B239" s="2" t="s">
        <v>346</v>
      </c>
      <c r="C239" s="2" t="s">
        <v>294</v>
      </c>
      <c r="D239" s="2" t="s">
        <v>295</v>
      </c>
      <c r="E239" s="2" t="s">
        <v>181</v>
      </c>
      <c r="F239" s="2"/>
      <c r="G239" s="4">
        <v>1.5861616039999999</v>
      </c>
      <c r="H239" s="3">
        <v>26.04</v>
      </c>
      <c r="I239" s="3">
        <v>-41.3</v>
      </c>
      <c r="J239" s="3">
        <v>0.4</v>
      </c>
    </row>
    <row r="240" spans="1:10" ht="15" customHeight="1" x14ac:dyDescent="0.25">
      <c r="A240" s="2" t="s">
        <v>66</v>
      </c>
      <c r="B240" s="2" t="s">
        <v>347</v>
      </c>
      <c r="C240" s="2" t="s">
        <v>294</v>
      </c>
      <c r="D240" s="2" t="s">
        <v>295</v>
      </c>
      <c r="E240" s="2" t="s">
        <v>140</v>
      </c>
      <c r="F240" s="2"/>
      <c r="G240" s="4">
        <v>5</v>
      </c>
      <c r="H240" s="3">
        <v>12.07</v>
      </c>
      <c r="I240" s="3">
        <v>-60.33</v>
      </c>
      <c r="J240" s="3"/>
    </row>
    <row r="241" spans="1:10" ht="15" customHeight="1" x14ac:dyDescent="0.25">
      <c r="A241" s="2" t="s">
        <v>66</v>
      </c>
      <c r="B241" s="2" t="s">
        <v>347</v>
      </c>
      <c r="C241" s="2" t="s">
        <v>294</v>
      </c>
      <c r="D241" s="2" t="s">
        <v>295</v>
      </c>
      <c r="E241" s="2" t="s">
        <v>140</v>
      </c>
      <c r="F241" s="2"/>
      <c r="G241" s="4">
        <v>1.0400609940000001</v>
      </c>
      <c r="H241" s="3">
        <v>12.07</v>
      </c>
      <c r="I241" s="3">
        <v>-12.55</v>
      </c>
      <c r="J241" s="3">
        <v>0.12</v>
      </c>
    </row>
    <row r="242" spans="1:10" ht="15" customHeight="1" x14ac:dyDescent="0.25">
      <c r="A242" s="2" t="s">
        <v>66</v>
      </c>
      <c r="B242" s="2" t="s">
        <v>347</v>
      </c>
      <c r="C242" s="2" t="s">
        <v>294</v>
      </c>
      <c r="D242" s="2" t="s">
        <v>295</v>
      </c>
      <c r="E242" s="2" t="s">
        <v>132</v>
      </c>
      <c r="F242" s="2"/>
      <c r="G242" s="4">
        <v>6</v>
      </c>
      <c r="H242" s="3">
        <v>14.3</v>
      </c>
      <c r="I242" s="3">
        <v>-85.8</v>
      </c>
      <c r="J242" s="3">
        <v>0.14000000000000001</v>
      </c>
    </row>
    <row r="243" spans="1:10" ht="15" customHeight="1" x14ac:dyDescent="0.25">
      <c r="A243" s="2" t="s">
        <v>66</v>
      </c>
      <c r="B243" s="2" t="s">
        <v>347</v>
      </c>
      <c r="C243" s="2" t="s">
        <v>294</v>
      </c>
      <c r="D243" s="2" t="s">
        <v>295</v>
      </c>
      <c r="E243" s="2" t="s">
        <v>121</v>
      </c>
      <c r="F243" s="2"/>
      <c r="G243" s="4">
        <v>3</v>
      </c>
      <c r="H243" s="3">
        <v>33.53</v>
      </c>
      <c r="I243" s="3">
        <v>-100.59</v>
      </c>
      <c r="J243" s="3"/>
    </row>
    <row r="244" spans="1:10" ht="15" customHeight="1" x14ac:dyDescent="0.25">
      <c r="A244" s="2" t="s">
        <v>66</v>
      </c>
      <c r="B244" s="2" t="s">
        <v>347</v>
      </c>
      <c r="C244" s="2" t="s">
        <v>294</v>
      </c>
      <c r="D244" s="2" t="s">
        <v>295</v>
      </c>
      <c r="E244" s="2" t="s">
        <v>121</v>
      </c>
      <c r="F244" s="2"/>
      <c r="G244" s="4">
        <v>1.1688040559999999</v>
      </c>
      <c r="H244" s="3">
        <v>33.53</v>
      </c>
      <c r="I244" s="3">
        <v>-39.19</v>
      </c>
      <c r="J244" s="3">
        <v>0.22</v>
      </c>
    </row>
    <row r="245" spans="1:10" ht="15" customHeight="1" x14ac:dyDescent="0.25">
      <c r="A245" s="2" t="s">
        <v>66</v>
      </c>
      <c r="B245" s="2" t="s">
        <v>347</v>
      </c>
      <c r="C245" s="2" t="s">
        <v>294</v>
      </c>
      <c r="D245" s="2" t="s">
        <v>295</v>
      </c>
      <c r="E245" s="2" t="s">
        <v>179</v>
      </c>
      <c r="F245" s="2"/>
      <c r="G245" s="4">
        <v>6</v>
      </c>
      <c r="H245" s="3">
        <v>24.19</v>
      </c>
      <c r="I245" s="3">
        <v>-145.13999999999999</v>
      </c>
      <c r="J245" s="3">
        <v>0.23</v>
      </c>
    </row>
    <row r="246" spans="1:10" ht="15" customHeight="1" x14ac:dyDescent="0.25">
      <c r="A246" s="2" t="s">
        <v>66</v>
      </c>
      <c r="B246" s="2" t="s">
        <v>347</v>
      </c>
      <c r="C246" s="2" t="s">
        <v>294</v>
      </c>
      <c r="D246" s="2" t="s">
        <v>295</v>
      </c>
      <c r="E246" s="2" t="s">
        <v>152</v>
      </c>
      <c r="F246" s="2"/>
      <c r="G246" s="4">
        <v>2</v>
      </c>
      <c r="H246" s="3">
        <v>25.55</v>
      </c>
      <c r="I246" s="3">
        <v>-51.1</v>
      </c>
      <c r="J246" s="3"/>
    </row>
    <row r="247" spans="1:10" ht="15" customHeight="1" x14ac:dyDescent="0.25">
      <c r="A247" s="2" t="s">
        <v>66</v>
      </c>
      <c r="B247" s="2" t="s">
        <v>347</v>
      </c>
      <c r="C247" s="2" t="s">
        <v>294</v>
      </c>
      <c r="D247" s="2" t="s">
        <v>295</v>
      </c>
      <c r="E247" s="2" t="s">
        <v>152</v>
      </c>
      <c r="F247" s="2"/>
      <c r="G247" s="4">
        <v>1.3213307240000001</v>
      </c>
      <c r="H247" s="3">
        <v>25.55</v>
      </c>
      <c r="I247" s="3">
        <v>-33.76</v>
      </c>
      <c r="J247" s="3">
        <v>0.14000000000000001</v>
      </c>
    </row>
    <row r="248" spans="1:10" ht="15" customHeight="1" x14ac:dyDescent="0.25">
      <c r="A248" s="2" t="s">
        <v>66</v>
      </c>
      <c r="B248" s="2" t="s">
        <v>347</v>
      </c>
      <c r="C248" s="2" t="s">
        <v>294</v>
      </c>
      <c r="D248" s="2" t="s">
        <v>295</v>
      </c>
      <c r="E248" s="2" t="s">
        <v>164</v>
      </c>
      <c r="F248" s="2"/>
      <c r="G248" s="4">
        <v>5</v>
      </c>
      <c r="H248" s="3">
        <v>16.89</v>
      </c>
      <c r="I248" s="3">
        <v>-84.45</v>
      </c>
      <c r="J248" s="3"/>
    </row>
    <row r="249" spans="1:10" ht="15" customHeight="1" x14ac:dyDescent="0.25">
      <c r="A249" s="2" t="s">
        <v>66</v>
      </c>
      <c r="B249" s="2" t="s">
        <v>347</v>
      </c>
      <c r="C249" s="2" t="s">
        <v>294</v>
      </c>
      <c r="D249" s="2" t="s">
        <v>295</v>
      </c>
      <c r="E249" s="2" t="s">
        <v>164</v>
      </c>
      <c r="F249" s="2"/>
      <c r="G249" s="4">
        <v>1.1474245110000001</v>
      </c>
      <c r="H249" s="3">
        <v>16.89</v>
      </c>
      <c r="I249" s="3">
        <v>-19.38</v>
      </c>
      <c r="J249" s="3">
        <v>0.17</v>
      </c>
    </row>
    <row r="250" spans="1:10" ht="15" customHeight="1" x14ac:dyDescent="0.25">
      <c r="A250" s="2" t="s">
        <v>66</v>
      </c>
      <c r="B250" s="2" t="s">
        <v>348</v>
      </c>
      <c r="C250" s="2" t="s">
        <v>294</v>
      </c>
      <c r="D250" s="2" t="s">
        <v>295</v>
      </c>
      <c r="E250" s="2" t="s">
        <v>170</v>
      </c>
      <c r="F250" s="2"/>
      <c r="G250" s="4">
        <v>4</v>
      </c>
      <c r="H250" s="3">
        <v>47.46</v>
      </c>
      <c r="I250" s="3">
        <v>-189.84</v>
      </c>
      <c r="J250" s="3">
        <v>0.3</v>
      </c>
    </row>
    <row r="251" spans="1:10" ht="15" customHeight="1" x14ac:dyDescent="0.25">
      <c r="A251" s="2" t="s">
        <v>68</v>
      </c>
      <c r="B251" s="2" t="s">
        <v>349</v>
      </c>
      <c r="C251" s="2" t="s">
        <v>294</v>
      </c>
      <c r="D251" s="2" t="s">
        <v>295</v>
      </c>
      <c r="E251" s="2" t="s">
        <v>140</v>
      </c>
      <c r="F251" s="2"/>
      <c r="G251" s="4">
        <v>3</v>
      </c>
      <c r="H251" s="3">
        <v>10.26</v>
      </c>
      <c r="I251" s="3">
        <v>-30.78</v>
      </c>
      <c r="J251" s="3"/>
    </row>
    <row r="252" spans="1:10" ht="15" customHeight="1" x14ac:dyDescent="0.25">
      <c r="A252" s="2" t="s">
        <v>68</v>
      </c>
      <c r="B252" s="2" t="s">
        <v>349</v>
      </c>
      <c r="C252" s="2" t="s">
        <v>294</v>
      </c>
      <c r="D252" s="2" t="s">
        <v>295</v>
      </c>
      <c r="E252" s="2" t="s">
        <v>140</v>
      </c>
      <c r="F252" s="2"/>
      <c r="G252" s="4">
        <v>1.2886246219999999</v>
      </c>
      <c r="H252" s="3">
        <v>10.26</v>
      </c>
      <c r="I252" s="3">
        <v>-13.22</v>
      </c>
      <c r="J252" s="3"/>
    </row>
    <row r="253" spans="1:10" ht="15" customHeight="1" x14ac:dyDescent="0.25">
      <c r="A253" s="2" t="s">
        <v>68</v>
      </c>
      <c r="B253" s="2" t="s">
        <v>349</v>
      </c>
      <c r="C253" s="2" t="s">
        <v>294</v>
      </c>
      <c r="D253" s="2" t="s">
        <v>295</v>
      </c>
      <c r="E253" s="2" t="s">
        <v>166</v>
      </c>
      <c r="F253" s="2"/>
      <c r="G253" s="4">
        <v>1</v>
      </c>
      <c r="H253" s="3">
        <v>50.91</v>
      </c>
      <c r="I253" s="3">
        <v>-50.91</v>
      </c>
      <c r="J253" s="3"/>
    </row>
    <row r="254" spans="1:10" ht="15" customHeight="1" x14ac:dyDescent="0.25">
      <c r="A254" s="2" t="s">
        <v>68</v>
      </c>
      <c r="B254" s="2" t="s">
        <v>349</v>
      </c>
      <c r="C254" s="2" t="s">
        <v>294</v>
      </c>
      <c r="D254" s="2" t="s">
        <v>295</v>
      </c>
      <c r="E254" s="2" t="s">
        <v>166</v>
      </c>
      <c r="F254" s="2"/>
      <c r="G254" s="4">
        <v>1.0232424739999999</v>
      </c>
      <c r="H254" s="3">
        <v>50.91</v>
      </c>
      <c r="I254" s="3">
        <v>-52.09</v>
      </c>
      <c r="J254" s="3"/>
    </row>
    <row r="255" spans="1:10" ht="15" customHeight="1" x14ac:dyDescent="0.25">
      <c r="A255" s="2" t="s">
        <v>68</v>
      </c>
      <c r="B255" s="2" t="s">
        <v>349</v>
      </c>
      <c r="C255" s="2" t="s">
        <v>294</v>
      </c>
      <c r="D255" s="2" t="s">
        <v>295</v>
      </c>
      <c r="E255" s="2" t="s">
        <v>127</v>
      </c>
      <c r="F255" s="2"/>
      <c r="G255" s="4">
        <v>3</v>
      </c>
      <c r="H255" s="3">
        <v>25.48</v>
      </c>
      <c r="I255" s="3">
        <v>-76.44</v>
      </c>
      <c r="J255" s="3"/>
    </row>
    <row r="256" spans="1:10" ht="15" customHeight="1" x14ac:dyDescent="0.25">
      <c r="A256" s="2" t="s">
        <v>68</v>
      </c>
      <c r="B256" s="2" t="s">
        <v>349</v>
      </c>
      <c r="C256" s="2" t="s">
        <v>294</v>
      </c>
      <c r="D256" s="2" t="s">
        <v>295</v>
      </c>
      <c r="E256" s="2" t="s">
        <v>127</v>
      </c>
      <c r="F256" s="2"/>
      <c r="G256" s="4">
        <v>1.042386185</v>
      </c>
      <c r="H256" s="3">
        <v>25.48</v>
      </c>
      <c r="I256" s="3">
        <v>-26.56</v>
      </c>
      <c r="J256" s="3"/>
    </row>
    <row r="257" spans="1:10" ht="15" customHeight="1" x14ac:dyDescent="0.25">
      <c r="A257" s="2" t="s">
        <v>68</v>
      </c>
      <c r="B257" s="2" t="s">
        <v>349</v>
      </c>
      <c r="C257" s="2" t="s">
        <v>294</v>
      </c>
      <c r="D257" s="2" t="s">
        <v>295</v>
      </c>
      <c r="E257" s="2" t="s">
        <v>143</v>
      </c>
      <c r="F257" s="2"/>
      <c r="G257" s="4">
        <v>1</v>
      </c>
      <c r="H257" s="3">
        <v>50.73</v>
      </c>
      <c r="I257" s="3">
        <v>-50.73</v>
      </c>
      <c r="J257" s="3"/>
    </row>
    <row r="258" spans="1:10" ht="15" customHeight="1" x14ac:dyDescent="0.25">
      <c r="A258" s="2" t="s">
        <v>68</v>
      </c>
      <c r="B258" s="2" t="s">
        <v>349</v>
      </c>
      <c r="C258" s="2" t="s">
        <v>294</v>
      </c>
      <c r="D258" s="2" t="s">
        <v>295</v>
      </c>
      <c r="E258" s="2" t="s">
        <v>143</v>
      </c>
      <c r="F258" s="2"/>
      <c r="G258" s="4">
        <v>1.322424839</v>
      </c>
      <c r="H258" s="3">
        <v>50.73</v>
      </c>
      <c r="I258" s="3">
        <v>-67.08</v>
      </c>
      <c r="J258" s="3">
        <v>0.19</v>
      </c>
    </row>
    <row r="259" spans="1:10" ht="15" customHeight="1" x14ac:dyDescent="0.25">
      <c r="A259" s="2" t="s">
        <v>68</v>
      </c>
      <c r="B259" s="2" t="s">
        <v>349</v>
      </c>
      <c r="C259" s="2" t="s">
        <v>294</v>
      </c>
      <c r="D259" s="2" t="s">
        <v>295</v>
      </c>
      <c r="E259" s="2" t="s">
        <v>129</v>
      </c>
      <c r="F259" s="2"/>
      <c r="G259" s="4">
        <v>3</v>
      </c>
      <c r="H259" s="3">
        <v>50.21</v>
      </c>
      <c r="I259" s="3">
        <v>-150.63</v>
      </c>
      <c r="J259" s="3">
        <v>0.24</v>
      </c>
    </row>
    <row r="260" spans="1:10" ht="15" customHeight="1" x14ac:dyDescent="0.25">
      <c r="A260" s="2" t="s">
        <v>68</v>
      </c>
      <c r="B260" s="2" t="s">
        <v>349</v>
      </c>
      <c r="C260" s="2" t="s">
        <v>294</v>
      </c>
      <c r="D260" s="2" t="s">
        <v>295</v>
      </c>
      <c r="E260" s="2" t="s">
        <v>119</v>
      </c>
      <c r="F260" s="2"/>
      <c r="G260" s="4">
        <v>0.58699854500000004</v>
      </c>
      <c r="H260" s="3">
        <v>100.36</v>
      </c>
      <c r="I260" s="3">
        <v>-58.91</v>
      </c>
      <c r="J260" s="3">
        <v>0.09</v>
      </c>
    </row>
    <row r="261" spans="1:10" ht="15" customHeight="1" x14ac:dyDescent="0.25">
      <c r="A261" s="2" t="s">
        <v>68</v>
      </c>
      <c r="B261" s="2" t="s">
        <v>349</v>
      </c>
      <c r="C261" s="2" t="s">
        <v>294</v>
      </c>
      <c r="D261" s="2" t="s">
        <v>295</v>
      </c>
      <c r="E261" s="2" t="s">
        <v>115</v>
      </c>
      <c r="F261" s="2"/>
      <c r="G261" s="4">
        <v>0.53497157500000003</v>
      </c>
      <c r="H261" s="3">
        <v>110.12</v>
      </c>
      <c r="I261" s="3">
        <v>-58.91</v>
      </c>
      <c r="J261" s="3">
        <v>0.09</v>
      </c>
    </row>
    <row r="262" spans="1:10" ht="15" customHeight="1" x14ac:dyDescent="0.25">
      <c r="A262" s="2" t="s">
        <v>68</v>
      </c>
      <c r="B262" s="2" t="s">
        <v>349</v>
      </c>
      <c r="C262" s="2" t="s">
        <v>294</v>
      </c>
      <c r="D262" s="2" t="s">
        <v>295</v>
      </c>
      <c r="E262" s="2" t="s">
        <v>162</v>
      </c>
      <c r="F262" s="2"/>
      <c r="G262" s="4">
        <v>1</v>
      </c>
      <c r="H262" s="3">
        <v>25.46</v>
      </c>
      <c r="I262" s="3">
        <v>-25.46</v>
      </c>
      <c r="J262" s="3"/>
    </row>
    <row r="263" spans="1:10" ht="15" customHeight="1" x14ac:dyDescent="0.25">
      <c r="A263" s="2" t="s">
        <v>68</v>
      </c>
      <c r="B263" s="2" t="s">
        <v>349</v>
      </c>
      <c r="C263" s="2" t="s">
        <v>294</v>
      </c>
      <c r="D263" s="2" t="s">
        <v>295</v>
      </c>
      <c r="E263" s="2" t="s">
        <v>162</v>
      </c>
      <c r="F263" s="2"/>
      <c r="G263" s="4">
        <v>1.9018291650000001</v>
      </c>
      <c r="H263" s="3">
        <v>25.46</v>
      </c>
      <c r="I263" s="3">
        <v>-48.42</v>
      </c>
      <c r="J263" s="3">
        <v>0.12</v>
      </c>
    </row>
    <row r="264" spans="1:10" ht="15" customHeight="1" x14ac:dyDescent="0.25">
      <c r="A264" s="2" t="s">
        <v>68</v>
      </c>
      <c r="B264" s="2" t="s">
        <v>350</v>
      </c>
      <c r="C264" s="2" t="s">
        <v>294</v>
      </c>
      <c r="D264" s="2" t="s">
        <v>295</v>
      </c>
      <c r="E264" s="2" t="s">
        <v>140</v>
      </c>
      <c r="F264" s="2"/>
      <c r="G264" s="4">
        <v>3</v>
      </c>
      <c r="H264" s="3">
        <v>9.65</v>
      </c>
      <c r="I264" s="3">
        <v>-28.95</v>
      </c>
      <c r="J264" s="3"/>
    </row>
    <row r="265" spans="1:10" ht="15" customHeight="1" x14ac:dyDescent="0.25">
      <c r="A265" s="2" t="s">
        <v>68</v>
      </c>
      <c r="B265" s="2" t="s">
        <v>350</v>
      </c>
      <c r="C265" s="2" t="s">
        <v>294</v>
      </c>
      <c r="D265" s="2" t="s">
        <v>295</v>
      </c>
      <c r="E265" s="2" t="s">
        <v>140</v>
      </c>
      <c r="F265" s="2"/>
      <c r="G265" s="4">
        <v>1.6560100310000001</v>
      </c>
      <c r="H265" s="3">
        <v>9.65</v>
      </c>
      <c r="I265" s="3">
        <v>-15.98</v>
      </c>
      <c r="J265" s="3">
        <v>7.0000000000000007E-2</v>
      </c>
    </row>
    <row r="266" spans="1:10" ht="15" customHeight="1" x14ac:dyDescent="0.25">
      <c r="A266" s="2" t="s">
        <v>68</v>
      </c>
      <c r="B266" s="2" t="s">
        <v>351</v>
      </c>
      <c r="C266" s="2" t="s">
        <v>294</v>
      </c>
      <c r="D266" s="2" t="s">
        <v>295</v>
      </c>
      <c r="E266" s="2" t="s">
        <v>183</v>
      </c>
      <c r="F266" s="2"/>
      <c r="G266" s="4">
        <v>4</v>
      </c>
      <c r="H266" s="3">
        <v>26.91</v>
      </c>
      <c r="I266" s="3">
        <v>-107.64</v>
      </c>
      <c r="J266" s="3"/>
    </row>
    <row r="267" spans="1:10" ht="15" customHeight="1" x14ac:dyDescent="0.25">
      <c r="A267" s="2" t="s">
        <v>68</v>
      </c>
      <c r="B267" s="2" t="s">
        <v>351</v>
      </c>
      <c r="C267" s="2" t="s">
        <v>294</v>
      </c>
      <c r="D267" s="2" t="s">
        <v>295</v>
      </c>
      <c r="E267" s="2" t="s">
        <v>183</v>
      </c>
      <c r="F267" s="2"/>
      <c r="G267" s="4">
        <v>1.5652232070000001</v>
      </c>
      <c r="H267" s="3">
        <v>26.91</v>
      </c>
      <c r="I267" s="3">
        <v>-42.12</v>
      </c>
      <c r="J267" s="3">
        <v>0.24</v>
      </c>
    </row>
    <row r="268" spans="1:10" ht="15" customHeight="1" x14ac:dyDescent="0.25">
      <c r="A268" s="2" t="s">
        <v>68</v>
      </c>
      <c r="B268" s="2" t="s">
        <v>352</v>
      </c>
      <c r="C268" s="2" t="s">
        <v>294</v>
      </c>
      <c r="D268" s="2" t="s">
        <v>295</v>
      </c>
      <c r="E268" s="2" t="s">
        <v>179</v>
      </c>
      <c r="F268" s="2"/>
      <c r="G268" s="4">
        <v>3</v>
      </c>
      <c r="H268" s="3">
        <v>22.85</v>
      </c>
      <c r="I268" s="3">
        <v>-68.55</v>
      </c>
      <c r="J268" s="3">
        <v>0.11</v>
      </c>
    </row>
    <row r="269" spans="1:10" ht="15" customHeight="1" x14ac:dyDescent="0.25">
      <c r="A269" s="2" t="s">
        <v>68</v>
      </c>
      <c r="B269" s="2" t="s">
        <v>352</v>
      </c>
      <c r="C269" s="2" t="s">
        <v>294</v>
      </c>
      <c r="D269" s="2" t="s">
        <v>295</v>
      </c>
      <c r="E269" s="2" t="s">
        <v>164</v>
      </c>
      <c r="F269" s="2"/>
      <c r="G269" s="4">
        <v>4</v>
      </c>
      <c r="H269" s="3">
        <v>14.06</v>
      </c>
      <c r="I269" s="3">
        <v>-56.23</v>
      </c>
      <c r="J269" s="3"/>
    </row>
    <row r="270" spans="1:10" ht="15" customHeight="1" x14ac:dyDescent="0.25">
      <c r="A270" s="2" t="s">
        <v>68</v>
      </c>
      <c r="B270" s="2" t="s">
        <v>352</v>
      </c>
      <c r="C270" s="2" t="s">
        <v>294</v>
      </c>
      <c r="D270" s="2" t="s">
        <v>295</v>
      </c>
      <c r="E270" s="2" t="s">
        <v>164</v>
      </c>
      <c r="F270" s="2"/>
      <c r="G270" s="4">
        <v>1.255646853</v>
      </c>
      <c r="H270" s="3">
        <v>14.06</v>
      </c>
      <c r="I270" s="3">
        <v>-17.649999999999999</v>
      </c>
      <c r="J270" s="3">
        <v>0.12</v>
      </c>
    </row>
    <row r="271" spans="1:10" ht="15" customHeight="1" x14ac:dyDescent="0.25">
      <c r="A271" s="2" t="s">
        <v>70</v>
      </c>
      <c r="B271" s="2" t="s">
        <v>353</v>
      </c>
      <c r="C271" s="2" t="s">
        <v>294</v>
      </c>
      <c r="D271" s="2" t="s">
        <v>295</v>
      </c>
      <c r="E271" s="2" t="s">
        <v>183</v>
      </c>
      <c r="F271" s="2"/>
      <c r="G271" s="4">
        <v>1</v>
      </c>
      <c r="H271" s="3">
        <v>26.57</v>
      </c>
      <c r="I271" s="3">
        <v>-26.57</v>
      </c>
      <c r="J271" s="3"/>
    </row>
    <row r="272" spans="1:10" ht="15" customHeight="1" x14ac:dyDescent="0.25">
      <c r="A272" s="2" t="s">
        <v>70</v>
      </c>
      <c r="B272" s="2" t="s">
        <v>353</v>
      </c>
      <c r="C272" s="2" t="s">
        <v>294</v>
      </c>
      <c r="D272" s="2" t="s">
        <v>295</v>
      </c>
      <c r="E272" s="2" t="s">
        <v>183</v>
      </c>
      <c r="F272" s="2"/>
      <c r="G272" s="4">
        <v>1.743185915</v>
      </c>
      <c r="H272" s="3">
        <v>26.57</v>
      </c>
      <c r="I272" s="3">
        <v>-46.31</v>
      </c>
      <c r="J272" s="3">
        <v>0.12</v>
      </c>
    </row>
    <row r="273" spans="1:10" ht="15" customHeight="1" x14ac:dyDescent="0.25">
      <c r="A273" s="2" t="s">
        <v>70</v>
      </c>
      <c r="B273" s="2" t="s">
        <v>353</v>
      </c>
      <c r="C273" s="2" t="s">
        <v>294</v>
      </c>
      <c r="D273" s="2" t="s">
        <v>295</v>
      </c>
      <c r="E273" s="2" t="s">
        <v>140</v>
      </c>
      <c r="F273" s="2"/>
      <c r="G273" s="4">
        <v>8</v>
      </c>
      <c r="H273" s="3">
        <v>7.69</v>
      </c>
      <c r="I273" s="3">
        <v>-61.51</v>
      </c>
      <c r="J273" s="3"/>
    </row>
    <row r="274" spans="1:10" ht="15" customHeight="1" x14ac:dyDescent="0.25">
      <c r="A274" s="2" t="s">
        <v>70</v>
      </c>
      <c r="B274" s="2" t="s">
        <v>353</v>
      </c>
      <c r="C274" s="2" t="s">
        <v>294</v>
      </c>
      <c r="D274" s="2" t="s">
        <v>295</v>
      </c>
      <c r="E274" s="2" t="s">
        <v>140</v>
      </c>
      <c r="F274" s="2"/>
      <c r="G274" s="4">
        <v>1.4787358559999999</v>
      </c>
      <c r="H274" s="3">
        <v>7.69</v>
      </c>
      <c r="I274" s="3">
        <v>-11.37</v>
      </c>
      <c r="J274" s="3">
        <v>0.12</v>
      </c>
    </row>
    <row r="275" spans="1:10" ht="15" customHeight="1" x14ac:dyDescent="0.25">
      <c r="A275" s="2" t="s">
        <v>70</v>
      </c>
      <c r="B275" s="2" t="s">
        <v>353</v>
      </c>
      <c r="C275" s="2" t="s">
        <v>294</v>
      </c>
      <c r="D275" s="2" t="s">
        <v>295</v>
      </c>
      <c r="E275" s="2" t="s">
        <v>166</v>
      </c>
      <c r="F275" s="2"/>
      <c r="G275" s="4">
        <v>1.433009556</v>
      </c>
      <c r="H275" s="3">
        <v>50.86</v>
      </c>
      <c r="I275" s="3">
        <v>-72.88</v>
      </c>
      <c r="J275" s="3">
        <v>0.12</v>
      </c>
    </row>
    <row r="276" spans="1:10" ht="15" customHeight="1" x14ac:dyDescent="0.25">
      <c r="A276" s="2" t="s">
        <v>70</v>
      </c>
      <c r="B276" s="2" t="s">
        <v>353</v>
      </c>
      <c r="C276" s="2" t="s">
        <v>294</v>
      </c>
      <c r="D276" s="2" t="s">
        <v>295</v>
      </c>
      <c r="E276" s="2" t="s">
        <v>170</v>
      </c>
      <c r="F276" s="2"/>
      <c r="G276" s="4">
        <v>1.5493856029999999</v>
      </c>
      <c r="H276" s="3">
        <v>47.04</v>
      </c>
      <c r="I276" s="3">
        <v>-72.88</v>
      </c>
      <c r="J276" s="3">
        <v>0.12</v>
      </c>
    </row>
    <row r="277" spans="1:10" ht="15" customHeight="1" x14ac:dyDescent="0.25">
      <c r="A277" s="2" t="s">
        <v>70</v>
      </c>
      <c r="B277" s="2" t="s">
        <v>353</v>
      </c>
      <c r="C277" s="2" t="s">
        <v>294</v>
      </c>
      <c r="D277" s="2" t="s">
        <v>295</v>
      </c>
      <c r="E277" s="2" t="s">
        <v>127</v>
      </c>
      <c r="F277" s="2"/>
      <c r="G277" s="4">
        <v>4</v>
      </c>
      <c r="H277" s="3">
        <v>25.45</v>
      </c>
      <c r="I277" s="3">
        <v>-101.79</v>
      </c>
      <c r="J277" s="3"/>
    </row>
    <row r="278" spans="1:10" ht="15" customHeight="1" x14ac:dyDescent="0.25">
      <c r="A278" s="2" t="s">
        <v>70</v>
      </c>
      <c r="B278" s="2" t="s">
        <v>353</v>
      </c>
      <c r="C278" s="2" t="s">
        <v>294</v>
      </c>
      <c r="D278" s="2" t="s">
        <v>295</v>
      </c>
      <c r="E278" s="2" t="s">
        <v>127</v>
      </c>
      <c r="F278" s="2"/>
      <c r="G278" s="4">
        <v>1.7283251980000001</v>
      </c>
      <c r="H278" s="3">
        <v>25.45</v>
      </c>
      <c r="I278" s="3">
        <v>-43.98</v>
      </c>
      <c r="J278" s="3">
        <v>0.23</v>
      </c>
    </row>
    <row r="279" spans="1:10" ht="15" customHeight="1" x14ac:dyDescent="0.25">
      <c r="A279" s="2" t="s">
        <v>70</v>
      </c>
      <c r="B279" s="2" t="s">
        <v>353</v>
      </c>
      <c r="C279" s="2" t="s">
        <v>294</v>
      </c>
      <c r="D279" s="2" t="s">
        <v>295</v>
      </c>
      <c r="E279" s="2" t="s">
        <v>143</v>
      </c>
      <c r="F279" s="2"/>
      <c r="G279" s="4">
        <v>1.4435113289999999</v>
      </c>
      <c r="H279" s="3">
        <v>50.49</v>
      </c>
      <c r="I279" s="3">
        <v>-72.88</v>
      </c>
      <c r="J279" s="3">
        <v>0.12</v>
      </c>
    </row>
    <row r="280" spans="1:10" ht="15" customHeight="1" x14ac:dyDescent="0.25">
      <c r="A280" s="2" t="s">
        <v>70</v>
      </c>
      <c r="B280" s="2" t="s">
        <v>353</v>
      </c>
      <c r="C280" s="2" t="s">
        <v>294</v>
      </c>
      <c r="D280" s="2" t="s">
        <v>295</v>
      </c>
      <c r="E280" s="2" t="s">
        <v>185</v>
      </c>
      <c r="F280" s="2"/>
      <c r="G280" s="4">
        <v>1.5070929310000001</v>
      </c>
      <c r="H280" s="3">
        <v>48.36</v>
      </c>
      <c r="I280" s="3">
        <v>-72.88</v>
      </c>
      <c r="J280" s="3">
        <v>0.12</v>
      </c>
    </row>
    <row r="281" spans="1:10" ht="15" customHeight="1" x14ac:dyDescent="0.25">
      <c r="A281" s="2" t="s">
        <v>70</v>
      </c>
      <c r="B281" s="2" t="s">
        <v>353</v>
      </c>
      <c r="C281" s="2" t="s">
        <v>294</v>
      </c>
      <c r="D281" s="2" t="s">
        <v>295</v>
      </c>
      <c r="E281" s="2" t="s">
        <v>129</v>
      </c>
      <c r="F281" s="2"/>
      <c r="G281" s="4">
        <v>3</v>
      </c>
      <c r="H281" s="3">
        <v>49.61</v>
      </c>
      <c r="I281" s="3">
        <v>-148.83000000000001</v>
      </c>
      <c r="J281" s="3">
        <v>0.24</v>
      </c>
    </row>
    <row r="282" spans="1:10" ht="15" customHeight="1" x14ac:dyDescent="0.25">
      <c r="A282" s="2" t="s">
        <v>70</v>
      </c>
      <c r="B282" s="2" t="s">
        <v>353</v>
      </c>
      <c r="C282" s="2" t="s">
        <v>294</v>
      </c>
      <c r="D282" s="2" t="s">
        <v>295</v>
      </c>
      <c r="E282" s="2" t="s">
        <v>119</v>
      </c>
      <c r="F282" s="2"/>
      <c r="G282" s="4">
        <v>0.72627257099999998</v>
      </c>
      <c r="H282" s="3">
        <v>100.35</v>
      </c>
      <c r="I282" s="3">
        <v>-72.88</v>
      </c>
      <c r="J282" s="3">
        <v>0.12</v>
      </c>
    </row>
    <row r="283" spans="1:10" ht="15" customHeight="1" x14ac:dyDescent="0.25">
      <c r="A283" s="2" t="s">
        <v>70</v>
      </c>
      <c r="B283" s="2" t="s">
        <v>353</v>
      </c>
      <c r="C283" s="2" t="s">
        <v>294</v>
      </c>
      <c r="D283" s="2" t="s">
        <v>295</v>
      </c>
      <c r="E283" s="2" t="s">
        <v>115</v>
      </c>
      <c r="F283" s="2"/>
      <c r="G283" s="4">
        <v>1.3260913000000001</v>
      </c>
      <c r="H283" s="3">
        <v>110.1</v>
      </c>
      <c r="I283" s="3">
        <v>-146</v>
      </c>
      <c r="J283" s="3"/>
    </row>
    <row r="284" spans="1:10" ht="15" customHeight="1" x14ac:dyDescent="0.25">
      <c r="A284" s="2" t="s">
        <v>70</v>
      </c>
      <c r="B284" s="2" t="s">
        <v>353</v>
      </c>
      <c r="C284" s="2" t="s">
        <v>294</v>
      </c>
      <c r="D284" s="2" t="s">
        <v>295</v>
      </c>
      <c r="E284" s="2" t="s">
        <v>162</v>
      </c>
      <c r="F284" s="2"/>
      <c r="G284" s="4">
        <v>1</v>
      </c>
      <c r="H284" s="3">
        <v>25</v>
      </c>
      <c r="I284" s="3">
        <v>-25</v>
      </c>
      <c r="J284" s="3"/>
    </row>
    <row r="285" spans="1:10" ht="15" customHeight="1" x14ac:dyDescent="0.25">
      <c r="A285" s="2" t="s">
        <v>70</v>
      </c>
      <c r="B285" s="2" t="s">
        <v>353</v>
      </c>
      <c r="C285" s="2" t="s">
        <v>294</v>
      </c>
      <c r="D285" s="2" t="s">
        <v>295</v>
      </c>
      <c r="E285" s="2" t="s">
        <v>162</v>
      </c>
      <c r="F285" s="2"/>
      <c r="G285" s="4">
        <v>1.9155831160000001</v>
      </c>
      <c r="H285" s="3">
        <v>25</v>
      </c>
      <c r="I285" s="3">
        <v>-47.88</v>
      </c>
      <c r="J285" s="3">
        <v>0.12</v>
      </c>
    </row>
    <row r="286" spans="1:10" ht="15" customHeight="1" x14ac:dyDescent="0.25">
      <c r="A286" s="2" t="s">
        <v>70</v>
      </c>
      <c r="B286" s="2" t="s">
        <v>354</v>
      </c>
      <c r="C286" s="2" t="s">
        <v>294</v>
      </c>
      <c r="D286" s="2" t="s">
        <v>345</v>
      </c>
      <c r="E286" s="2" t="s">
        <v>107</v>
      </c>
      <c r="F286" s="2"/>
      <c r="G286" s="4">
        <v>-1</v>
      </c>
      <c r="H286" s="3">
        <v>46.96</v>
      </c>
      <c r="I286" s="3">
        <v>46.96</v>
      </c>
      <c r="J286" s="3"/>
    </row>
    <row r="287" spans="1:10" ht="15" customHeight="1" x14ac:dyDescent="0.25">
      <c r="A287" s="2" t="s">
        <v>70</v>
      </c>
      <c r="B287" s="2" t="s">
        <v>354</v>
      </c>
      <c r="C287" s="2" t="s">
        <v>294</v>
      </c>
      <c r="D287" s="2" t="s">
        <v>345</v>
      </c>
      <c r="E287" s="2" t="s">
        <v>107</v>
      </c>
      <c r="F287" s="2"/>
      <c r="G287" s="4">
        <v>-0.80273899199999998</v>
      </c>
      <c r="H287" s="3">
        <v>46.96</v>
      </c>
      <c r="I287" s="3">
        <v>37.700000000000003</v>
      </c>
      <c r="J287" s="3">
        <v>0.14000000000000001</v>
      </c>
    </row>
    <row r="288" spans="1:10" ht="15" customHeight="1" x14ac:dyDescent="0.25">
      <c r="A288" s="2" t="s">
        <v>70</v>
      </c>
      <c r="B288" s="2" t="s">
        <v>355</v>
      </c>
      <c r="C288" s="2" t="s">
        <v>294</v>
      </c>
      <c r="D288" s="2" t="s">
        <v>295</v>
      </c>
      <c r="E288" s="2" t="s">
        <v>179</v>
      </c>
      <c r="F288" s="2"/>
      <c r="G288" s="4">
        <v>5</v>
      </c>
      <c r="H288" s="3">
        <v>22.75</v>
      </c>
      <c r="I288" s="3">
        <v>-113.75</v>
      </c>
      <c r="J288" s="3">
        <v>0.18</v>
      </c>
    </row>
    <row r="289" spans="1:10" ht="15" customHeight="1" x14ac:dyDescent="0.25">
      <c r="A289" s="2" t="s">
        <v>70</v>
      </c>
      <c r="B289" s="2" t="s">
        <v>356</v>
      </c>
      <c r="C289" s="2" t="s">
        <v>294</v>
      </c>
      <c r="D289" s="2" t="s">
        <v>295</v>
      </c>
      <c r="E289" s="2" t="s">
        <v>187</v>
      </c>
      <c r="F289" s="2"/>
      <c r="G289" s="4">
        <v>5</v>
      </c>
      <c r="H289" s="3">
        <v>37.090000000000003</v>
      </c>
      <c r="I289" s="3">
        <v>-185.45</v>
      </c>
      <c r="J289" s="3"/>
    </row>
    <row r="290" spans="1:10" ht="15" customHeight="1" x14ac:dyDescent="0.25">
      <c r="A290" s="2" t="s">
        <v>70</v>
      </c>
      <c r="B290" s="2" t="s">
        <v>357</v>
      </c>
      <c r="C290" s="2" t="s">
        <v>294</v>
      </c>
      <c r="D290" s="2" t="s">
        <v>295</v>
      </c>
      <c r="E290" s="2" t="s">
        <v>187</v>
      </c>
      <c r="F290" s="2"/>
      <c r="G290" s="4">
        <v>7</v>
      </c>
      <c r="H290" s="3">
        <v>37.42</v>
      </c>
      <c r="I290" s="3">
        <v>-261.95</v>
      </c>
      <c r="J290" s="3">
        <v>0.42</v>
      </c>
    </row>
    <row r="291" spans="1:10" ht="15" customHeight="1" x14ac:dyDescent="0.25">
      <c r="A291" s="2" t="s">
        <v>70</v>
      </c>
      <c r="B291" s="2" t="s">
        <v>357</v>
      </c>
      <c r="C291" s="2" t="s">
        <v>294</v>
      </c>
      <c r="D291" s="2" t="s">
        <v>345</v>
      </c>
      <c r="E291" s="2" t="s">
        <v>156</v>
      </c>
      <c r="F291" s="2"/>
      <c r="G291" s="4">
        <v>-58</v>
      </c>
      <c r="H291" s="3">
        <v>15.11</v>
      </c>
      <c r="I291" s="3">
        <v>876.51</v>
      </c>
      <c r="J291" s="3"/>
    </row>
    <row r="292" spans="1:10" ht="15" customHeight="1" x14ac:dyDescent="0.25">
      <c r="A292" s="2" t="s">
        <v>70</v>
      </c>
      <c r="B292" s="2" t="s">
        <v>357</v>
      </c>
      <c r="C292" s="2" t="s">
        <v>294</v>
      </c>
      <c r="D292" s="2" t="s">
        <v>345</v>
      </c>
      <c r="E292" s="2" t="s">
        <v>156</v>
      </c>
      <c r="F292" s="2"/>
      <c r="G292" s="4">
        <v>-0.13823798200000001</v>
      </c>
      <c r="H292" s="3">
        <v>15.11</v>
      </c>
      <c r="I292" s="3">
        <v>2.09</v>
      </c>
      <c r="J292" s="3">
        <v>1.45</v>
      </c>
    </row>
    <row r="293" spans="1:10" ht="15" customHeight="1" x14ac:dyDescent="0.25">
      <c r="A293" s="2" t="s">
        <v>70</v>
      </c>
      <c r="B293" s="2" t="s">
        <v>358</v>
      </c>
      <c r="C293" s="2" t="s">
        <v>294</v>
      </c>
      <c r="D293" s="2" t="s">
        <v>295</v>
      </c>
      <c r="E293" s="2" t="s">
        <v>190</v>
      </c>
      <c r="F293" s="2"/>
      <c r="G293" s="4">
        <v>14</v>
      </c>
      <c r="H293" s="3">
        <v>24.81</v>
      </c>
      <c r="I293" s="3">
        <v>-347.3</v>
      </c>
      <c r="J293" s="3">
        <v>0.55000000000000004</v>
      </c>
    </row>
    <row r="294" spans="1:10" ht="15" customHeight="1" x14ac:dyDescent="0.25">
      <c r="A294" s="2" t="s">
        <v>72</v>
      </c>
      <c r="B294" s="2" t="s">
        <v>359</v>
      </c>
      <c r="C294" s="2" t="s">
        <v>294</v>
      </c>
      <c r="D294" s="2" t="s">
        <v>295</v>
      </c>
      <c r="E294" s="2" t="s">
        <v>140</v>
      </c>
      <c r="F294" s="2"/>
      <c r="G294" s="4">
        <v>6</v>
      </c>
      <c r="H294" s="3">
        <v>7.57</v>
      </c>
      <c r="I294" s="3">
        <v>-45.42</v>
      </c>
      <c r="J294" s="3"/>
    </row>
    <row r="295" spans="1:10" ht="15" customHeight="1" x14ac:dyDescent="0.25">
      <c r="A295" s="2" t="s">
        <v>72</v>
      </c>
      <c r="B295" s="2" t="s">
        <v>359</v>
      </c>
      <c r="C295" s="2" t="s">
        <v>294</v>
      </c>
      <c r="D295" s="2" t="s">
        <v>295</v>
      </c>
      <c r="E295" s="2" t="s">
        <v>140</v>
      </c>
      <c r="F295" s="2"/>
      <c r="G295" s="4">
        <v>1.7820578869999999</v>
      </c>
      <c r="H295" s="3">
        <v>7.57</v>
      </c>
      <c r="I295" s="3">
        <v>-13.49</v>
      </c>
      <c r="J295" s="3">
        <v>0.09</v>
      </c>
    </row>
    <row r="296" spans="1:10" ht="15" customHeight="1" x14ac:dyDescent="0.25">
      <c r="A296" s="2" t="s">
        <v>72</v>
      </c>
      <c r="B296" s="2" t="s">
        <v>359</v>
      </c>
      <c r="C296" s="2" t="s">
        <v>294</v>
      </c>
      <c r="D296" s="2" t="s">
        <v>295</v>
      </c>
      <c r="E296" s="2" t="s">
        <v>127</v>
      </c>
      <c r="F296" s="2"/>
      <c r="G296" s="4">
        <v>1</v>
      </c>
      <c r="H296" s="3">
        <v>25.32</v>
      </c>
      <c r="I296" s="3">
        <v>-25.32</v>
      </c>
      <c r="J296" s="3"/>
    </row>
    <row r="297" spans="1:10" ht="15" customHeight="1" x14ac:dyDescent="0.25">
      <c r="A297" s="2" t="s">
        <v>72</v>
      </c>
      <c r="B297" s="2" t="s">
        <v>359</v>
      </c>
      <c r="C297" s="2" t="s">
        <v>294</v>
      </c>
      <c r="D297" s="2" t="s">
        <v>295</v>
      </c>
      <c r="E297" s="2" t="s">
        <v>127</v>
      </c>
      <c r="F297" s="2"/>
      <c r="G297" s="4">
        <v>1.3268131590000001</v>
      </c>
      <c r="H297" s="3">
        <v>25.32</v>
      </c>
      <c r="I297" s="3">
        <v>-33.590000000000003</v>
      </c>
      <c r="J297" s="3">
        <v>0.09</v>
      </c>
    </row>
    <row r="298" spans="1:10" ht="15" customHeight="1" x14ac:dyDescent="0.25">
      <c r="A298" s="2" t="s">
        <v>72</v>
      </c>
      <c r="B298" s="2" t="s">
        <v>359</v>
      </c>
      <c r="C298" s="2" t="s">
        <v>294</v>
      </c>
      <c r="D298" s="2" t="s">
        <v>295</v>
      </c>
      <c r="E298" s="2" t="s">
        <v>143</v>
      </c>
      <c r="F298" s="2"/>
      <c r="G298" s="4">
        <v>1</v>
      </c>
      <c r="H298" s="3">
        <v>50.41</v>
      </c>
      <c r="I298" s="3">
        <v>-50.41</v>
      </c>
      <c r="J298" s="3"/>
    </row>
    <row r="299" spans="1:10" ht="15" customHeight="1" x14ac:dyDescent="0.25">
      <c r="A299" s="2" t="s">
        <v>72</v>
      </c>
      <c r="B299" s="2" t="s">
        <v>359</v>
      </c>
      <c r="C299" s="2" t="s">
        <v>294</v>
      </c>
      <c r="D299" s="2" t="s">
        <v>295</v>
      </c>
      <c r="E299" s="2" t="s">
        <v>143</v>
      </c>
      <c r="F299" s="2"/>
      <c r="G299" s="4">
        <v>1.3371370979999999</v>
      </c>
      <c r="H299" s="3">
        <v>50.41</v>
      </c>
      <c r="I299" s="3">
        <v>-67.400000000000006</v>
      </c>
      <c r="J299" s="3">
        <v>0.19</v>
      </c>
    </row>
    <row r="300" spans="1:10" ht="15" customHeight="1" x14ac:dyDescent="0.25">
      <c r="A300" s="2" t="s">
        <v>72</v>
      </c>
      <c r="B300" s="2" t="s">
        <v>359</v>
      </c>
      <c r="C300" s="2" t="s">
        <v>294</v>
      </c>
      <c r="D300" s="2" t="s">
        <v>295</v>
      </c>
      <c r="E300" s="2" t="s">
        <v>129</v>
      </c>
      <c r="F300" s="2"/>
      <c r="G300" s="4">
        <v>2</v>
      </c>
      <c r="H300" s="3">
        <v>48.85</v>
      </c>
      <c r="I300" s="3">
        <v>-97.69</v>
      </c>
      <c r="J300" s="3">
        <v>0.16</v>
      </c>
    </row>
    <row r="301" spans="1:10" ht="15" customHeight="1" x14ac:dyDescent="0.25">
      <c r="A301" s="2" t="s">
        <v>72</v>
      </c>
      <c r="B301" s="2" t="s">
        <v>359</v>
      </c>
      <c r="C301" s="2" t="s">
        <v>294</v>
      </c>
      <c r="D301" s="2" t="s">
        <v>295</v>
      </c>
      <c r="E301" s="2" t="s">
        <v>119</v>
      </c>
      <c r="F301" s="2"/>
      <c r="G301" s="4">
        <v>0.58694005999999999</v>
      </c>
      <c r="H301" s="3">
        <v>100.37</v>
      </c>
      <c r="I301" s="3">
        <v>-58.91</v>
      </c>
      <c r="J301" s="3">
        <v>0.09</v>
      </c>
    </row>
    <row r="302" spans="1:10" ht="15" customHeight="1" x14ac:dyDescent="0.25">
      <c r="A302" s="2" t="s">
        <v>72</v>
      </c>
      <c r="B302" s="2" t="s">
        <v>359</v>
      </c>
      <c r="C302" s="2" t="s">
        <v>294</v>
      </c>
      <c r="D302" s="2" t="s">
        <v>295</v>
      </c>
      <c r="E302" s="2" t="s">
        <v>115</v>
      </c>
      <c r="F302" s="2"/>
      <c r="G302" s="4">
        <v>0.53583754100000003</v>
      </c>
      <c r="H302" s="3">
        <v>110.11</v>
      </c>
      <c r="I302" s="3">
        <v>-59</v>
      </c>
      <c r="J302" s="3"/>
    </row>
    <row r="303" spans="1:10" ht="15" customHeight="1" x14ac:dyDescent="0.25">
      <c r="A303" s="2" t="s">
        <v>72</v>
      </c>
      <c r="B303" s="2" t="s">
        <v>359</v>
      </c>
      <c r="C303" s="2" t="s">
        <v>294</v>
      </c>
      <c r="D303" s="2" t="s">
        <v>295</v>
      </c>
      <c r="E303" s="2" t="s">
        <v>162</v>
      </c>
      <c r="F303" s="2"/>
      <c r="G303" s="4">
        <v>1</v>
      </c>
      <c r="H303" s="3">
        <v>24.87</v>
      </c>
      <c r="I303" s="3">
        <v>-24.87</v>
      </c>
      <c r="J303" s="3"/>
    </row>
    <row r="304" spans="1:10" ht="15" customHeight="1" x14ac:dyDescent="0.25">
      <c r="A304" s="2" t="s">
        <v>72</v>
      </c>
      <c r="B304" s="2" t="s">
        <v>359</v>
      </c>
      <c r="C304" s="2" t="s">
        <v>294</v>
      </c>
      <c r="D304" s="2" t="s">
        <v>295</v>
      </c>
      <c r="E304" s="2" t="s">
        <v>162</v>
      </c>
      <c r="F304" s="2"/>
      <c r="G304" s="4">
        <v>1.0072416850000001</v>
      </c>
      <c r="H304" s="3">
        <v>24.87</v>
      </c>
      <c r="I304" s="3">
        <v>-25.05</v>
      </c>
      <c r="J304" s="3">
        <v>0.08</v>
      </c>
    </row>
    <row r="305" spans="1:10" ht="15" customHeight="1" x14ac:dyDescent="0.25">
      <c r="A305" s="2" t="s">
        <v>72</v>
      </c>
      <c r="B305" s="2" t="s">
        <v>360</v>
      </c>
      <c r="C305" s="2" t="s">
        <v>294</v>
      </c>
      <c r="D305" s="2" t="s">
        <v>295</v>
      </c>
      <c r="E305" s="2" t="s">
        <v>183</v>
      </c>
      <c r="F305" s="2"/>
      <c r="G305" s="4">
        <v>1</v>
      </c>
      <c r="H305" s="3">
        <v>26.46</v>
      </c>
      <c r="I305" s="3">
        <v>-26.46</v>
      </c>
      <c r="J305" s="3"/>
    </row>
    <row r="306" spans="1:10" ht="15" customHeight="1" x14ac:dyDescent="0.25">
      <c r="A306" s="2" t="s">
        <v>72</v>
      </c>
      <c r="B306" s="2" t="s">
        <v>360</v>
      </c>
      <c r="C306" s="2" t="s">
        <v>294</v>
      </c>
      <c r="D306" s="2" t="s">
        <v>295</v>
      </c>
      <c r="E306" s="2" t="s">
        <v>183</v>
      </c>
      <c r="F306" s="2"/>
      <c r="G306" s="4">
        <v>1.2637991820000001</v>
      </c>
      <c r="H306" s="3">
        <v>26.46</v>
      </c>
      <c r="I306" s="3">
        <v>-33.44</v>
      </c>
      <c r="J306" s="3">
        <v>0.1</v>
      </c>
    </row>
    <row r="307" spans="1:10" ht="15" customHeight="1" x14ac:dyDescent="0.25">
      <c r="A307" s="2" t="s">
        <v>72</v>
      </c>
      <c r="B307" s="2" t="s">
        <v>361</v>
      </c>
      <c r="C307" s="2" t="s">
        <v>294</v>
      </c>
      <c r="D307" s="2" t="s">
        <v>295</v>
      </c>
      <c r="E307" s="2" t="s">
        <v>179</v>
      </c>
      <c r="F307" s="2"/>
      <c r="G307" s="4">
        <v>3</v>
      </c>
      <c r="H307" s="3">
        <v>24.68</v>
      </c>
      <c r="I307" s="3">
        <v>-74.03</v>
      </c>
      <c r="J307" s="3">
        <v>0.12</v>
      </c>
    </row>
    <row r="308" spans="1:10" ht="15" customHeight="1" x14ac:dyDescent="0.25">
      <c r="A308" s="2" t="s">
        <v>72</v>
      </c>
      <c r="B308" s="2" t="s">
        <v>362</v>
      </c>
      <c r="C308" s="2" t="s">
        <v>294</v>
      </c>
      <c r="D308" s="2" t="s">
        <v>295</v>
      </c>
      <c r="E308" s="2" t="s">
        <v>194</v>
      </c>
      <c r="F308" s="2"/>
      <c r="G308" s="4">
        <v>8</v>
      </c>
      <c r="H308" s="3">
        <v>71.27</v>
      </c>
      <c r="I308" s="3">
        <v>-570.16999999999996</v>
      </c>
      <c r="J308" s="3">
        <v>0.92</v>
      </c>
    </row>
    <row r="309" spans="1:10" ht="15" customHeight="1" x14ac:dyDescent="0.25">
      <c r="A309" s="2" t="s">
        <v>72</v>
      </c>
      <c r="B309" s="2" t="s">
        <v>362</v>
      </c>
      <c r="C309" s="2" t="s">
        <v>294</v>
      </c>
      <c r="D309" s="2" t="s">
        <v>345</v>
      </c>
      <c r="E309" s="2" t="s">
        <v>125</v>
      </c>
      <c r="F309" s="2"/>
      <c r="G309" s="4">
        <v>-55</v>
      </c>
      <c r="H309" s="3">
        <v>10.34</v>
      </c>
      <c r="I309" s="3">
        <v>568.75</v>
      </c>
      <c r="J309" s="3">
        <v>0.9</v>
      </c>
    </row>
    <row r="310" spans="1:10" ht="15" customHeight="1" x14ac:dyDescent="0.25">
      <c r="A310" s="2" t="s">
        <v>72</v>
      </c>
      <c r="B310" s="2" t="s">
        <v>363</v>
      </c>
      <c r="C310" s="2" t="s">
        <v>294</v>
      </c>
      <c r="D310" s="2" t="s">
        <v>295</v>
      </c>
      <c r="E310" s="2" t="s">
        <v>136</v>
      </c>
      <c r="F310" s="2"/>
      <c r="G310" s="4">
        <v>3</v>
      </c>
      <c r="H310" s="3">
        <v>25</v>
      </c>
      <c r="I310" s="3">
        <v>-75</v>
      </c>
      <c r="J310" s="3"/>
    </row>
    <row r="311" spans="1:10" ht="15" customHeight="1" x14ac:dyDescent="0.25">
      <c r="A311" s="2" t="s">
        <v>72</v>
      </c>
      <c r="B311" s="2" t="s">
        <v>363</v>
      </c>
      <c r="C311" s="2" t="s">
        <v>294</v>
      </c>
      <c r="D311" s="2" t="s">
        <v>295</v>
      </c>
      <c r="E311" s="2" t="s">
        <v>136</v>
      </c>
      <c r="F311" s="2"/>
      <c r="G311" s="4">
        <v>1.153236903</v>
      </c>
      <c r="H311" s="3">
        <v>25</v>
      </c>
      <c r="I311" s="3">
        <v>-28.83</v>
      </c>
      <c r="J311" s="3">
        <v>0.17</v>
      </c>
    </row>
    <row r="312" spans="1:10" ht="15" customHeight="1" x14ac:dyDescent="0.25">
      <c r="A312" s="2" t="s">
        <v>72</v>
      </c>
      <c r="B312" s="2" t="s">
        <v>364</v>
      </c>
      <c r="C312" s="2" t="s">
        <v>294</v>
      </c>
      <c r="D312" s="2" t="s">
        <v>295</v>
      </c>
      <c r="E312" s="2" t="s">
        <v>192</v>
      </c>
      <c r="F312" s="2"/>
      <c r="G312" s="4">
        <v>1.223769366</v>
      </c>
      <c r="H312" s="3">
        <v>40.79</v>
      </c>
      <c r="I312" s="3">
        <v>-49.92</v>
      </c>
      <c r="J312" s="3">
        <v>0.08</v>
      </c>
    </row>
    <row r="313" spans="1:10" ht="15" customHeight="1" x14ac:dyDescent="0.25">
      <c r="A313" s="2" t="s">
        <v>72</v>
      </c>
      <c r="B313" s="2" t="s">
        <v>364</v>
      </c>
      <c r="C313" s="2" t="s">
        <v>294</v>
      </c>
      <c r="D313" s="2" t="s">
        <v>295</v>
      </c>
      <c r="E313" s="2" t="s">
        <v>134</v>
      </c>
      <c r="F313" s="2"/>
      <c r="G313" s="4">
        <v>3</v>
      </c>
      <c r="H313" s="3">
        <v>25.53</v>
      </c>
      <c r="I313" s="3">
        <v>-76.59</v>
      </c>
      <c r="J313" s="3"/>
    </row>
    <row r="314" spans="1:10" ht="15" customHeight="1" x14ac:dyDescent="0.25">
      <c r="A314" s="2" t="s">
        <v>72</v>
      </c>
      <c r="B314" s="2" t="s">
        <v>364</v>
      </c>
      <c r="C314" s="2" t="s">
        <v>294</v>
      </c>
      <c r="D314" s="2" t="s">
        <v>295</v>
      </c>
      <c r="E314" s="2" t="s">
        <v>134</v>
      </c>
      <c r="F314" s="2"/>
      <c r="G314" s="4">
        <v>1.700372507</v>
      </c>
      <c r="H314" s="3">
        <v>25.53</v>
      </c>
      <c r="I314" s="3">
        <v>-43.41</v>
      </c>
      <c r="J314" s="3"/>
    </row>
    <row r="315" spans="1:10" ht="15" customHeight="1" x14ac:dyDescent="0.25">
      <c r="A315" s="2" t="s">
        <v>72</v>
      </c>
      <c r="B315" s="2" t="s">
        <v>364</v>
      </c>
      <c r="C315" s="2" t="s">
        <v>294</v>
      </c>
      <c r="D315" s="2" t="s">
        <v>295</v>
      </c>
      <c r="E315" s="2" t="s">
        <v>145</v>
      </c>
      <c r="F315" s="2"/>
      <c r="G315" s="4">
        <v>2</v>
      </c>
      <c r="H315" s="3">
        <v>15.29</v>
      </c>
      <c r="I315" s="3">
        <v>-30.57</v>
      </c>
      <c r="J315" s="3"/>
    </row>
    <row r="316" spans="1:10" ht="15" customHeight="1" x14ac:dyDescent="0.25">
      <c r="A316" s="2" t="s">
        <v>72</v>
      </c>
      <c r="B316" s="2" t="s">
        <v>364</v>
      </c>
      <c r="C316" s="2" t="s">
        <v>294</v>
      </c>
      <c r="D316" s="2" t="s">
        <v>295</v>
      </c>
      <c r="E316" s="2" t="s">
        <v>145</v>
      </c>
      <c r="F316" s="2"/>
      <c r="G316" s="4">
        <v>1.918598566</v>
      </c>
      <c r="H316" s="3">
        <v>15.29</v>
      </c>
      <c r="I316" s="3">
        <v>-29.33</v>
      </c>
      <c r="J316" s="3">
        <v>0.1</v>
      </c>
    </row>
    <row r="317" spans="1:10" ht="15" customHeight="1" x14ac:dyDescent="0.25">
      <c r="A317" s="2" t="s">
        <v>72</v>
      </c>
      <c r="B317" s="2" t="s">
        <v>364</v>
      </c>
      <c r="C317" s="2" t="s">
        <v>294</v>
      </c>
      <c r="D317" s="2" t="s">
        <v>295</v>
      </c>
      <c r="E317" s="2" t="s">
        <v>187</v>
      </c>
      <c r="F317" s="2"/>
      <c r="G317" s="4">
        <v>2</v>
      </c>
      <c r="H317" s="3">
        <v>37.340000000000003</v>
      </c>
      <c r="I317" s="3">
        <v>-74.680000000000007</v>
      </c>
      <c r="J317" s="3">
        <v>0.12</v>
      </c>
    </row>
    <row r="318" spans="1:10" ht="15" customHeight="1" x14ac:dyDescent="0.25">
      <c r="A318" s="2" t="s">
        <v>72</v>
      </c>
      <c r="B318" s="2" t="s">
        <v>364</v>
      </c>
      <c r="C318" s="2" t="s">
        <v>294</v>
      </c>
      <c r="D318" s="2" t="s">
        <v>295</v>
      </c>
      <c r="E318" s="2" t="s">
        <v>196</v>
      </c>
      <c r="F318" s="2"/>
      <c r="G318" s="4">
        <v>1</v>
      </c>
      <c r="H318" s="3">
        <v>21.42</v>
      </c>
      <c r="I318" s="3">
        <v>-21.42</v>
      </c>
      <c r="J318" s="3"/>
    </row>
    <row r="319" spans="1:10" ht="15" customHeight="1" x14ac:dyDescent="0.25">
      <c r="A319" s="2" t="s">
        <v>72</v>
      </c>
      <c r="B319" s="2" t="s">
        <v>364</v>
      </c>
      <c r="C319" s="2" t="s">
        <v>294</v>
      </c>
      <c r="D319" s="2" t="s">
        <v>295</v>
      </c>
      <c r="E319" s="2" t="s">
        <v>196</v>
      </c>
      <c r="F319" s="2"/>
      <c r="G319" s="4">
        <v>1.330793152</v>
      </c>
      <c r="H319" s="3">
        <v>21.42</v>
      </c>
      <c r="I319" s="3">
        <v>-28.5</v>
      </c>
      <c r="J319" s="3">
        <v>0.08</v>
      </c>
    </row>
    <row r="320" spans="1:10" ht="15" customHeight="1" x14ac:dyDescent="0.25">
      <c r="A320" s="2" t="s">
        <v>72</v>
      </c>
      <c r="B320" s="2" t="s">
        <v>364</v>
      </c>
      <c r="C320" s="2" t="s">
        <v>294</v>
      </c>
      <c r="D320" s="2" t="s">
        <v>295</v>
      </c>
      <c r="E320" s="2" t="s">
        <v>162</v>
      </c>
      <c r="F320" s="2"/>
      <c r="G320" s="4">
        <v>1</v>
      </c>
      <c r="H320" s="3">
        <v>25.17</v>
      </c>
      <c r="I320" s="3">
        <v>-25.17</v>
      </c>
      <c r="J320" s="3"/>
    </row>
    <row r="321" spans="1:10" ht="15" customHeight="1" x14ac:dyDescent="0.25">
      <c r="A321" s="2" t="s">
        <v>72</v>
      </c>
      <c r="B321" s="2" t="s">
        <v>364</v>
      </c>
      <c r="C321" s="2" t="s">
        <v>294</v>
      </c>
      <c r="D321" s="2" t="s">
        <v>295</v>
      </c>
      <c r="E321" s="2" t="s">
        <v>162</v>
      </c>
      <c r="F321" s="2"/>
      <c r="G321" s="4">
        <v>1.3800913960000001</v>
      </c>
      <c r="H321" s="3">
        <v>25.17</v>
      </c>
      <c r="I321" s="3">
        <v>-34.729999999999997</v>
      </c>
      <c r="J321" s="3">
        <v>0.1</v>
      </c>
    </row>
    <row r="322" spans="1:10" ht="15" customHeight="1" x14ac:dyDescent="0.25">
      <c r="A322" s="2" t="s">
        <v>72</v>
      </c>
      <c r="B322" s="2" t="s">
        <v>364</v>
      </c>
      <c r="C322" s="2" t="s">
        <v>294</v>
      </c>
      <c r="D322" s="2" t="s">
        <v>295</v>
      </c>
      <c r="E322" s="2" t="s">
        <v>136</v>
      </c>
      <c r="F322" s="2"/>
      <c r="G322" s="4">
        <v>2</v>
      </c>
      <c r="H322" s="3">
        <v>25.03</v>
      </c>
      <c r="I322" s="3">
        <v>-50.05</v>
      </c>
      <c r="J322" s="3"/>
    </row>
    <row r="323" spans="1:10" ht="15" customHeight="1" x14ac:dyDescent="0.25">
      <c r="A323" s="2" t="s">
        <v>72</v>
      </c>
      <c r="B323" s="2" t="s">
        <v>364</v>
      </c>
      <c r="C323" s="2" t="s">
        <v>294</v>
      </c>
      <c r="D323" s="2" t="s">
        <v>295</v>
      </c>
      <c r="E323" s="2" t="s">
        <v>136</v>
      </c>
      <c r="F323" s="2"/>
      <c r="G323" s="4">
        <v>1.1967649380000001</v>
      </c>
      <c r="H323" s="3">
        <v>25.03</v>
      </c>
      <c r="I323" s="3">
        <v>-29.95</v>
      </c>
      <c r="J323" s="3"/>
    </row>
    <row r="324" spans="1:10" ht="15" customHeight="1" x14ac:dyDescent="0.25">
      <c r="A324" s="2" t="s">
        <v>74</v>
      </c>
      <c r="B324" s="2" t="s">
        <v>365</v>
      </c>
      <c r="C324" s="2" t="s">
        <v>294</v>
      </c>
      <c r="D324" s="2" t="s">
        <v>295</v>
      </c>
      <c r="E324" s="2" t="s">
        <v>166</v>
      </c>
      <c r="F324" s="2"/>
      <c r="G324" s="4">
        <v>0.88601362699999997</v>
      </c>
      <c r="H324" s="3">
        <v>50.78</v>
      </c>
      <c r="I324" s="3">
        <v>-44.99</v>
      </c>
      <c r="J324" s="3"/>
    </row>
    <row r="325" spans="1:10" ht="15" customHeight="1" x14ac:dyDescent="0.25">
      <c r="A325" s="2" t="s">
        <v>74</v>
      </c>
      <c r="B325" s="2" t="s">
        <v>365</v>
      </c>
      <c r="C325" s="2" t="s">
        <v>294</v>
      </c>
      <c r="D325" s="2" t="s">
        <v>295</v>
      </c>
      <c r="E325" s="2" t="s">
        <v>127</v>
      </c>
      <c r="F325" s="2"/>
      <c r="G325" s="4">
        <v>1.770037039</v>
      </c>
      <c r="H325" s="3">
        <v>25.38</v>
      </c>
      <c r="I325" s="3">
        <v>-44.92</v>
      </c>
      <c r="J325" s="3">
        <v>7.0000000000000007E-2</v>
      </c>
    </row>
    <row r="326" spans="1:10" ht="15" customHeight="1" x14ac:dyDescent="0.25">
      <c r="A326" s="2" t="s">
        <v>74</v>
      </c>
      <c r="B326" s="2" t="s">
        <v>365</v>
      </c>
      <c r="C326" s="2" t="s">
        <v>294</v>
      </c>
      <c r="D326" s="2" t="s">
        <v>295</v>
      </c>
      <c r="E326" s="2" t="s">
        <v>143</v>
      </c>
      <c r="F326" s="2"/>
      <c r="G326" s="4">
        <v>0.888660283</v>
      </c>
      <c r="H326" s="3">
        <v>50.55</v>
      </c>
      <c r="I326" s="3">
        <v>-44.92</v>
      </c>
      <c r="J326" s="3">
        <v>7.0000000000000007E-2</v>
      </c>
    </row>
    <row r="327" spans="1:10" ht="15" customHeight="1" x14ac:dyDescent="0.25">
      <c r="A327" s="2" t="s">
        <v>74</v>
      </c>
      <c r="B327" s="2" t="s">
        <v>365</v>
      </c>
      <c r="C327" s="2" t="s">
        <v>294</v>
      </c>
      <c r="D327" s="2" t="s">
        <v>295</v>
      </c>
      <c r="E327" s="2" t="s">
        <v>185</v>
      </c>
      <c r="F327" s="2"/>
      <c r="G327" s="4">
        <v>0.55905903800000001</v>
      </c>
      <c r="H327" s="3">
        <v>48.21</v>
      </c>
      <c r="I327" s="3">
        <v>-26.95</v>
      </c>
      <c r="J327" s="3">
        <v>0.04</v>
      </c>
    </row>
    <row r="328" spans="1:10" ht="15" customHeight="1" x14ac:dyDescent="0.25">
      <c r="A328" s="2" t="s">
        <v>74</v>
      </c>
      <c r="B328" s="2" t="s">
        <v>365</v>
      </c>
      <c r="C328" s="2" t="s">
        <v>294</v>
      </c>
      <c r="D328" s="2" t="s">
        <v>295</v>
      </c>
      <c r="E328" s="2" t="s">
        <v>152</v>
      </c>
      <c r="F328" s="2"/>
      <c r="G328" s="4">
        <v>1.2312682740000001</v>
      </c>
      <c r="H328" s="3">
        <v>21.89</v>
      </c>
      <c r="I328" s="3">
        <v>-26.95</v>
      </c>
      <c r="J328" s="3">
        <v>0.04</v>
      </c>
    </row>
    <row r="329" spans="1:10" ht="15" customHeight="1" x14ac:dyDescent="0.25">
      <c r="A329" s="2" t="s">
        <v>74</v>
      </c>
      <c r="B329" s="2" t="s">
        <v>365</v>
      </c>
      <c r="C329" s="2" t="s">
        <v>294</v>
      </c>
      <c r="D329" s="2" t="s">
        <v>295</v>
      </c>
      <c r="E329" s="2" t="s">
        <v>129</v>
      </c>
      <c r="F329" s="2"/>
      <c r="G329" s="4">
        <v>1</v>
      </c>
      <c r="H329" s="3">
        <v>49.67</v>
      </c>
      <c r="I329" s="3">
        <v>-49.67</v>
      </c>
      <c r="J329" s="3">
        <v>0.08</v>
      </c>
    </row>
    <row r="330" spans="1:10" ht="15" customHeight="1" x14ac:dyDescent="0.25">
      <c r="A330" s="2" t="s">
        <v>74</v>
      </c>
      <c r="B330" s="2" t="s">
        <v>365</v>
      </c>
      <c r="C330" s="2" t="s">
        <v>294</v>
      </c>
      <c r="D330" s="2" t="s">
        <v>295</v>
      </c>
      <c r="E330" s="2" t="s">
        <v>196</v>
      </c>
      <c r="F330" s="2"/>
      <c r="G330" s="4">
        <v>1.3868815999999999</v>
      </c>
      <c r="H330" s="3">
        <v>21.59</v>
      </c>
      <c r="I330" s="3">
        <v>-29.94</v>
      </c>
      <c r="J330" s="3">
        <v>0.05</v>
      </c>
    </row>
    <row r="331" spans="1:10" ht="15" customHeight="1" x14ac:dyDescent="0.25">
      <c r="A331" s="2" t="s">
        <v>74</v>
      </c>
      <c r="B331" s="2" t="s">
        <v>365</v>
      </c>
      <c r="C331" s="2" t="s">
        <v>294</v>
      </c>
      <c r="D331" s="2" t="s">
        <v>295</v>
      </c>
      <c r="E331" s="2" t="s">
        <v>119</v>
      </c>
      <c r="F331" s="2"/>
      <c r="G331" s="4">
        <v>0.448205782</v>
      </c>
      <c r="H331" s="3">
        <v>100.38</v>
      </c>
      <c r="I331" s="3">
        <v>-44.99</v>
      </c>
      <c r="J331" s="3"/>
    </row>
    <row r="332" spans="1:10" ht="15" customHeight="1" x14ac:dyDescent="0.25">
      <c r="A332" s="2" t="s">
        <v>74</v>
      </c>
      <c r="B332" s="2" t="s">
        <v>365</v>
      </c>
      <c r="C332" s="2" t="s">
        <v>294</v>
      </c>
      <c r="D332" s="2" t="s">
        <v>295</v>
      </c>
      <c r="E332" s="2" t="s">
        <v>115</v>
      </c>
      <c r="F332" s="2"/>
      <c r="G332" s="4">
        <v>0.27246792800000003</v>
      </c>
      <c r="H332" s="3">
        <v>110.07</v>
      </c>
      <c r="I332" s="3">
        <v>-29.99</v>
      </c>
      <c r="J332" s="3"/>
    </row>
    <row r="333" spans="1:10" ht="15" customHeight="1" x14ac:dyDescent="0.25">
      <c r="A333" s="2" t="s">
        <v>74</v>
      </c>
      <c r="B333" s="2" t="s">
        <v>365</v>
      </c>
      <c r="C333" s="2" t="s">
        <v>294</v>
      </c>
      <c r="D333" s="2" t="s">
        <v>295</v>
      </c>
      <c r="E333" s="2" t="s">
        <v>162</v>
      </c>
      <c r="F333" s="2"/>
      <c r="G333" s="4">
        <v>1.7926410719999999</v>
      </c>
      <c r="H333" s="3">
        <v>25.06</v>
      </c>
      <c r="I333" s="3">
        <v>-44.92</v>
      </c>
      <c r="J333" s="3">
        <v>7.0000000000000007E-2</v>
      </c>
    </row>
    <row r="334" spans="1:10" ht="15" customHeight="1" x14ac:dyDescent="0.25">
      <c r="A334" s="2" t="s">
        <v>74</v>
      </c>
      <c r="B334" s="2" t="s">
        <v>366</v>
      </c>
      <c r="C334" s="2" t="s">
        <v>294</v>
      </c>
      <c r="D334" s="2" t="s">
        <v>295</v>
      </c>
      <c r="E334" s="2" t="s">
        <v>183</v>
      </c>
      <c r="F334" s="2"/>
      <c r="G334" s="4">
        <v>1.3473076340000001</v>
      </c>
      <c r="H334" s="3">
        <v>26.67</v>
      </c>
      <c r="I334" s="3">
        <v>-35.93</v>
      </c>
      <c r="J334" s="3">
        <v>0.06</v>
      </c>
    </row>
    <row r="335" spans="1:10" ht="15" customHeight="1" x14ac:dyDescent="0.25">
      <c r="A335" s="2" t="s">
        <v>74</v>
      </c>
      <c r="B335" s="2" t="s">
        <v>367</v>
      </c>
      <c r="C335" s="2" t="s">
        <v>294</v>
      </c>
      <c r="D335" s="2" t="s">
        <v>295</v>
      </c>
      <c r="E335" s="2" t="s">
        <v>213</v>
      </c>
      <c r="F335" s="2"/>
      <c r="G335" s="4">
        <v>1.858983909</v>
      </c>
      <c r="H335" s="3">
        <v>26.85</v>
      </c>
      <c r="I335" s="3">
        <v>-49.91</v>
      </c>
      <c r="J335" s="3">
        <v>0.08</v>
      </c>
    </row>
    <row r="336" spans="1:10" ht="15" customHeight="1" x14ac:dyDescent="0.25">
      <c r="A336" s="2" t="s">
        <v>74</v>
      </c>
      <c r="B336" s="2" t="s">
        <v>368</v>
      </c>
      <c r="C336" s="2" t="s">
        <v>294</v>
      </c>
      <c r="D336" s="2" t="s">
        <v>295</v>
      </c>
      <c r="E336" s="2" t="s">
        <v>179</v>
      </c>
      <c r="F336" s="2"/>
      <c r="G336" s="4">
        <v>1</v>
      </c>
      <c r="H336" s="3">
        <v>25.87</v>
      </c>
      <c r="I336" s="3">
        <v>-25.87</v>
      </c>
      <c r="J336" s="3">
        <v>0.04</v>
      </c>
    </row>
    <row r="337" spans="1:10" ht="15" customHeight="1" x14ac:dyDescent="0.25">
      <c r="A337" s="2" t="s">
        <v>74</v>
      </c>
      <c r="B337" s="2" t="s">
        <v>369</v>
      </c>
      <c r="C337" s="2" t="s">
        <v>294</v>
      </c>
      <c r="D337" s="2" t="s">
        <v>295</v>
      </c>
      <c r="E337" s="2" t="s">
        <v>204</v>
      </c>
      <c r="F337" s="2"/>
      <c r="G337" s="4">
        <v>25</v>
      </c>
      <c r="H337" s="3">
        <v>6.39</v>
      </c>
      <c r="I337" s="3">
        <v>-159.69999999999999</v>
      </c>
      <c r="J337" s="3">
        <v>0.27</v>
      </c>
    </row>
    <row r="338" spans="1:10" ht="15" customHeight="1" x14ac:dyDescent="0.25">
      <c r="A338" s="2" t="s">
        <v>74</v>
      </c>
      <c r="B338" s="2" t="s">
        <v>369</v>
      </c>
      <c r="C338" s="2" t="s">
        <v>294</v>
      </c>
      <c r="D338" s="2" t="s">
        <v>345</v>
      </c>
      <c r="E338" s="2" t="s">
        <v>160</v>
      </c>
      <c r="F338" s="2"/>
      <c r="G338" s="4">
        <v>-25</v>
      </c>
      <c r="H338" s="3">
        <v>23.84</v>
      </c>
      <c r="I338" s="3">
        <v>595.95000000000005</v>
      </c>
      <c r="J338" s="3">
        <v>0.96</v>
      </c>
    </row>
    <row r="339" spans="1:10" ht="15" customHeight="1" x14ac:dyDescent="0.25">
      <c r="A339" s="2" t="s">
        <v>74</v>
      </c>
      <c r="B339" s="2" t="s">
        <v>369</v>
      </c>
      <c r="C339" s="2" t="s">
        <v>294</v>
      </c>
      <c r="D339" s="2" t="s">
        <v>295</v>
      </c>
      <c r="E339" s="2" t="s">
        <v>213</v>
      </c>
      <c r="F339" s="2"/>
      <c r="G339" s="4">
        <v>4</v>
      </c>
      <c r="H339" s="3">
        <v>27.03</v>
      </c>
      <c r="I339" s="3">
        <v>-108.1</v>
      </c>
      <c r="J339" s="3"/>
    </row>
    <row r="340" spans="1:10" ht="15" customHeight="1" x14ac:dyDescent="0.25">
      <c r="A340" s="2" t="s">
        <v>74</v>
      </c>
      <c r="B340" s="2" t="s">
        <v>369</v>
      </c>
      <c r="C340" s="2" t="s">
        <v>294</v>
      </c>
      <c r="D340" s="2" t="s">
        <v>295</v>
      </c>
      <c r="E340" s="2" t="s">
        <v>213</v>
      </c>
      <c r="F340" s="2"/>
      <c r="G340" s="4">
        <v>1.46710575</v>
      </c>
      <c r="H340" s="3">
        <v>27.03</v>
      </c>
      <c r="I340" s="3">
        <v>-39.65</v>
      </c>
      <c r="J340" s="3">
        <v>0.24</v>
      </c>
    </row>
    <row r="341" spans="1:10" ht="15" customHeight="1" x14ac:dyDescent="0.25">
      <c r="A341" s="2" t="s">
        <v>74</v>
      </c>
      <c r="B341" s="2" t="s">
        <v>369</v>
      </c>
      <c r="C341" s="2" t="s">
        <v>294</v>
      </c>
      <c r="D341" s="2" t="s">
        <v>295</v>
      </c>
      <c r="E341" s="2" t="s">
        <v>196</v>
      </c>
      <c r="F341" s="2"/>
      <c r="G341" s="4">
        <v>9</v>
      </c>
      <c r="H341" s="3">
        <v>22.17</v>
      </c>
      <c r="I341" s="3">
        <v>-199.5</v>
      </c>
      <c r="J341" s="3"/>
    </row>
    <row r="342" spans="1:10" ht="15" customHeight="1" x14ac:dyDescent="0.25">
      <c r="A342" s="2" t="s">
        <v>74</v>
      </c>
      <c r="B342" s="2" t="s">
        <v>369</v>
      </c>
      <c r="C342" s="2" t="s">
        <v>294</v>
      </c>
      <c r="D342" s="2" t="s">
        <v>295</v>
      </c>
      <c r="E342" s="2" t="s">
        <v>196</v>
      </c>
      <c r="F342" s="2"/>
      <c r="G342" s="4">
        <v>1.6741101629999999</v>
      </c>
      <c r="H342" s="3">
        <v>22.17</v>
      </c>
      <c r="I342" s="3">
        <v>-37.11</v>
      </c>
      <c r="J342" s="3">
        <v>0.38</v>
      </c>
    </row>
    <row r="343" spans="1:10" ht="15" customHeight="1" x14ac:dyDescent="0.25">
      <c r="A343" s="2" t="s">
        <v>74</v>
      </c>
      <c r="B343" s="2" t="s">
        <v>369</v>
      </c>
      <c r="C343" s="2" t="s">
        <v>294</v>
      </c>
      <c r="D343" s="2" t="s">
        <v>295</v>
      </c>
      <c r="E343" s="2" t="s">
        <v>196</v>
      </c>
      <c r="F343" s="2"/>
      <c r="G343" s="4">
        <v>5</v>
      </c>
      <c r="H343" s="3">
        <v>22.17</v>
      </c>
      <c r="I343" s="3">
        <v>-110.83</v>
      </c>
      <c r="J343" s="3"/>
    </row>
    <row r="344" spans="1:10" ht="15" customHeight="1" x14ac:dyDescent="0.25">
      <c r="A344" s="2" t="s">
        <v>74</v>
      </c>
      <c r="B344" s="2" t="s">
        <v>369</v>
      </c>
      <c r="C344" s="2" t="s">
        <v>294</v>
      </c>
      <c r="D344" s="2" t="s">
        <v>295</v>
      </c>
      <c r="E344" s="2" t="s">
        <v>196</v>
      </c>
      <c r="F344" s="2"/>
      <c r="G344" s="4">
        <v>1.665614003</v>
      </c>
      <c r="H344" s="3">
        <v>22.17</v>
      </c>
      <c r="I344" s="3">
        <v>-36.92</v>
      </c>
      <c r="J344" s="3">
        <v>0.24</v>
      </c>
    </row>
    <row r="345" spans="1:10" ht="15" customHeight="1" x14ac:dyDescent="0.25">
      <c r="A345" s="2" t="s">
        <v>74</v>
      </c>
      <c r="B345" s="2" t="s">
        <v>369</v>
      </c>
      <c r="C345" s="2" t="s">
        <v>294</v>
      </c>
      <c r="D345" s="2" t="s">
        <v>345</v>
      </c>
      <c r="E345" s="2" t="s">
        <v>196</v>
      </c>
      <c r="F345" s="2"/>
      <c r="G345" s="4">
        <v>-6</v>
      </c>
      <c r="H345" s="3">
        <v>22.17</v>
      </c>
      <c r="I345" s="3">
        <v>133.01</v>
      </c>
      <c r="J345" s="3">
        <v>0.21</v>
      </c>
    </row>
    <row r="346" spans="1:10" ht="15" customHeight="1" x14ac:dyDescent="0.25">
      <c r="A346" s="2" t="s">
        <v>74</v>
      </c>
      <c r="B346" s="2" t="s">
        <v>370</v>
      </c>
      <c r="C346" s="2" t="s">
        <v>294</v>
      </c>
      <c r="D346" s="2" t="s">
        <v>295</v>
      </c>
      <c r="E346" s="2" t="s">
        <v>192</v>
      </c>
      <c r="F346" s="2"/>
      <c r="G346" s="4">
        <v>1.5741089939999999</v>
      </c>
      <c r="H346" s="3">
        <v>42.42</v>
      </c>
      <c r="I346" s="3">
        <v>-66.78</v>
      </c>
      <c r="J346" s="3">
        <v>0.11</v>
      </c>
    </row>
    <row r="347" spans="1:10" ht="15" customHeight="1" x14ac:dyDescent="0.25">
      <c r="A347" s="2" t="s">
        <v>74</v>
      </c>
      <c r="B347" s="2" t="s">
        <v>370</v>
      </c>
      <c r="C347" s="2" t="s">
        <v>294</v>
      </c>
      <c r="D347" s="2" t="s">
        <v>345</v>
      </c>
      <c r="E347" s="2" t="s">
        <v>109</v>
      </c>
      <c r="F347" s="2"/>
      <c r="G347" s="4">
        <v>-4</v>
      </c>
      <c r="H347" s="3">
        <v>16.760000000000002</v>
      </c>
      <c r="I347" s="3">
        <v>67.03</v>
      </c>
      <c r="J347" s="3">
        <v>0.11</v>
      </c>
    </row>
    <row r="348" spans="1:10" ht="15" customHeight="1" x14ac:dyDescent="0.25">
      <c r="A348" s="2" t="s">
        <v>74</v>
      </c>
      <c r="B348" s="2" t="s">
        <v>371</v>
      </c>
      <c r="C348" s="2" t="s">
        <v>294</v>
      </c>
      <c r="D348" s="2" t="s">
        <v>295</v>
      </c>
      <c r="E348" s="2" t="s">
        <v>198</v>
      </c>
      <c r="F348" s="2"/>
      <c r="G348" s="4">
        <v>0.529425492</v>
      </c>
      <c r="H348" s="3">
        <v>94.27</v>
      </c>
      <c r="I348" s="3">
        <v>-49.91</v>
      </c>
      <c r="J348" s="3">
        <v>0.08</v>
      </c>
    </row>
    <row r="349" spans="1:10" ht="15" customHeight="1" x14ac:dyDescent="0.25">
      <c r="A349" s="2" t="s">
        <v>74</v>
      </c>
      <c r="B349" s="2" t="s">
        <v>372</v>
      </c>
      <c r="C349" s="2" t="s">
        <v>294</v>
      </c>
      <c r="D349" s="2" t="s">
        <v>295</v>
      </c>
      <c r="E349" s="2" t="s">
        <v>200</v>
      </c>
      <c r="F349" s="2"/>
      <c r="G349" s="4">
        <v>26</v>
      </c>
      <c r="H349" s="3">
        <v>2.15</v>
      </c>
      <c r="I349" s="3">
        <v>-55.89</v>
      </c>
      <c r="J349" s="3"/>
    </row>
    <row r="350" spans="1:10" ht="15" customHeight="1" x14ac:dyDescent="0.25">
      <c r="A350" s="2" t="s">
        <v>74</v>
      </c>
      <c r="B350" s="2" t="s">
        <v>372</v>
      </c>
      <c r="C350" s="2" t="s">
        <v>294</v>
      </c>
      <c r="D350" s="2" t="s">
        <v>295</v>
      </c>
      <c r="E350" s="2" t="s">
        <v>200</v>
      </c>
      <c r="F350" s="2"/>
      <c r="G350" s="4">
        <v>1.767688514</v>
      </c>
      <c r="H350" s="3">
        <v>2.15</v>
      </c>
      <c r="I350" s="3">
        <v>-3.8</v>
      </c>
      <c r="J350" s="3">
        <v>0.3</v>
      </c>
    </row>
    <row r="351" spans="1:10" ht="15" customHeight="1" x14ac:dyDescent="0.25">
      <c r="A351" s="2" t="s">
        <v>74</v>
      </c>
      <c r="B351" s="2" t="s">
        <v>373</v>
      </c>
      <c r="C351" s="2" t="s">
        <v>294</v>
      </c>
      <c r="D351" s="2" t="s">
        <v>295</v>
      </c>
      <c r="E351" s="2" t="s">
        <v>140</v>
      </c>
      <c r="F351" s="2"/>
      <c r="G351" s="4">
        <v>1</v>
      </c>
      <c r="H351" s="3">
        <v>9.0299999999999994</v>
      </c>
      <c r="I351" s="3">
        <v>-9.0299999999999994</v>
      </c>
      <c r="J351" s="3"/>
    </row>
    <row r="352" spans="1:10" ht="15" customHeight="1" x14ac:dyDescent="0.25">
      <c r="A352" s="2" t="s">
        <v>74</v>
      </c>
      <c r="B352" s="2" t="s">
        <v>373</v>
      </c>
      <c r="C352" s="2" t="s">
        <v>294</v>
      </c>
      <c r="D352" s="2" t="s">
        <v>295</v>
      </c>
      <c r="E352" s="2" t="s">
        <v>140</v>
      </c>
      <c r="F352" s="2"/>
      <c r="G352" s="4">
        <v>1.763656707</v>
      </c>
      <c r="H352" s="3">
        <v>9.0299999999999994</v>
      </c>
      <c r="I352" s="3">
        <v>-15.92</v>
      </c>
      <c r="J352" s="3">
        <v>0.04</v>
      </c>
    </row>
    <row r="353" spans="1:10" ht="15" customHeight="1" x14ac:dyDescent="0.25">
      <c r="A353" s="2" t="s">
        <v>74</v>
      </c>
      <c r="B353" s="2" t="s">
        <v>373</v>
      </c>
      <c r="C353" s="2" t="s">
        <v>294</v>
      </c>
      <c r="D353" s="2" t="s">
        <v>295</v>
      </c>
      <c r="E353" s="2" t="s">
        <v>158</v>
      </c>
      <c r="F353" s="2"/>
      <c r="G353" s="4">
        <v>1.8404229160000001</v>
      </c>
      <c r="H353" s="3">
        <v>16.27</v>
      </c>
      <c r="I353" s="3">
        <v>-29.94</v>
      </c>
      <c r="J353" s="3">
        <v>0.05</v>
      </c>
    </row>
    <row r="354" spans="1:10" ht="15" customHeight="1" x14ac:dyDescent="0.25">
      <c r="A354" s="2" t="s">
        <v>74</v>
      </c>
      <c r="B354" s="2" t="s">
        <v>373</v>
      </c>
      <c r="C354" s="2" t="s">
        <v>294</v>
      </c>
      <c r="D354" s="2" t="s">
        <v>295</v>
      </c>
      <c r="E354" s="2" t="s">
        <v>170</v>
      </c>
      <c r="F354" s="2"/>
      <c r="G354" s="4">
        <v>1.0501178250000001</v>
      </c>
      <c r="H354" s="3">
        <v>47.53</v>
      </c>
      <c r="I354" s="3">
        <v>-49.91</v>
      </c>
      <c r="J354" s="3">
        <v>0.08</v>
      </c>
    </row>
    <row r="355" spans="1:10" ht="15" customHeight="1" x14ac:dyDescent="0.25">
      <c r="A355" s="2" t="s">
        <v>74</v>
      </c>
      <c r="B355" s="2" t="s">
        <v>373</v>
      </c>
      <c r="C355" s="2" t="s">
        <v>294</v>
      </c>
      <c r="D355" s="2" t="s">
        <v>295</v>
      </c>
      <c r="E355" s="2" t="s">
        <v>132</v>
      </c>
      <c r="F355" s="2"/>
      <c r="G355" s="4">
        <v>2</v>
      </c>
      <c r="H355" s="3">
        <v>11.64</v>
      </c>
      <c r="I355" s="3">
        <v>-23.27</v>
      </c>
      <c r="J355" s="3">
        <v>0.04</v>
      </c>
    </row>
    <row r="356" spans="1:10" ht="15" customHeight="1" x14ac:dyDescent="0.25">
      <c r="A356" s="2" t="s">
        <v>74</v>
      </c>
      <c r="B356" s="2" t="s">
        <v>373</v>
      </c>
      <c r="C356" s="2" t="s">
        <v>294</v>
      </c>
      <c r="D356" s="2" t="s">
        <v>295</v>
      </c>
      <c r="E356" s="2" t="s">
        <v>134</v>
      </c>
      <c r="F356" s="2"/>
      <c r="G356" s="4">
        <v>1.173749411</v>
      </c>
      <c r="H356" s="3">
        <v>25.51</v>
      </c>
      <c r="I356" s="3">
        <v>-29.94</v>
      </c>
      <c r="J356" s="3">
        <v>0.05</v>
      </c>
    </row>
    <row r="357" spans="1:10" ht="15" customHeight="1" x14ac:dyDescent="0.25">
      <c r="A357" s="2" t="s">
        <v>74</v>
      </c>
      <c r="B357" s="2" t="s">
        <v>373</v>
      </c>
      <c r="C357" s="2" t="s">
        <v>294</v>
      </c>
      <c r="D357" s="2" t="s">
        <v>295</v>
      </c>
      <c r="E357" s="2" t="s">
        <v>121</v>
      </c>
      <c r="F357" s="2"/>
      <c r="G357" s="4">
        <v>1.344190416</v>
      </c>
      <c r="H357" s="3">
        <v>31.93</v>
      </c>
      <c r="I357" s="3">
        <v>-42.92</v>
      </c>
      <c r="J357" s="3">
        <v>7.0000000000000007E-2</v>
      </c>
    </row>
    <row r="358" spans="1:10" ht="15" customHeight="1" x14ac:dyDescent="0.25">
      <c r="A358" s="2" t="s">
        <v>74</v>
      </c>
      <c r="B358" s="2" t="s">
        <v>373</v>
      </c>
      <c r="C358" s="2" t="s">
        <v>294</v>
      </c>
      <c r="D358" s="2" t="s">
        <v>295</v>
      </c>
      <c r="E358" s="2" t="s">
        <v>145</v>
      </c>
      <c r="F358" s="2"/>
      <c r="G358" s="4">
        <v>1.5713565940000001</v>
      </c>
      <c r="H358" s="3">
        <v>15.88</v>
      </c>
      <c r="I358" s="3">
        <v>-24.95</v>
      </c>
      <c r="J358" s="3">
        <v>0.04</v>
      </c>
    </row>
    <row r="359" spans="1:10" ht="15" customHeight="1" x14ac:dyDescent="0.25">
      <c r="A359" s="2" t="s">
        <v>74</v>
      </c>
      <c r="B359" s="2" t="s">
        <v>373</v>
      </c>
      <c r="C359" s="2" t="s">
        <v>294</v>
      </c>
      <c r="D359" s="2" t="s">
        <v>295</v>
      </c>
      <c r="E359" s="2" t="s">
        <v>194</v>
      </c>
      <c r="F359" s="2"/>
      <c r="G359" s="4">
        <v>1</v>
      </c>
      <c r="H359" s="3">
        <v>66</v>
      </c>
      <c r="I359" s="3">
        <v>-66</v>
      </c>
      <c r="J359" s="3">
        <v>0.11</v>
      </c>
    </row>
    <row r="360" spans="1:10" ht="15" customHeight="1" x14ac:dyDescent="0.25">
      <c r="A360" s="2" t="s">
        <v>74</v>
      </c>
      <c r="B360" s="2" t="s">
        <v>373</v>
      </c>
      <c r="C360" s="2" t="s">
        <v>294</v>
      </c>
      <c r="D360" s="2" t="s">
        <v>295</v>
      </c>
      <c r="E360" s="2" t="s">
        <v>117</v>
      </c>
      <c r="F360" s="2"/>
      <c r="G360" s="4">
        <v>1.8169680779999999</v>
      </c>
      <c r="H360" s="3">
        <v>16.48</v>
      </c>
      <c r="I360" s="3">
        <v>-29.94</v>
      </c>
      <c r="J360" s="3">
        <v>0.05</v>
      </c>
    </row>
    <row r="361" spans="1:10" ht="15" customHeight="1" x14ac:dyDescent="0.25">
      <c r="A361" s="2" t="s">
        <v>74</v>
      </c>
      <c r="B361" s="2" t="s">
        <v>373</v>
      </c>
      <c r="C361" s="2" t="s">
        <v>294</v>
      </c>
      <c r="D361" s="2" t="s">
        <v>295</v>
      </c>
      <c r="E361" s="2" t="s">
        <v>187</v>
      </c>
      <c r="F361" s="2"/>
      <c r="G361" s="4">
        <v>2</v>
      </c>
      <c r="H361" s="3">
        <v>36.83</v>
      </c>
      <c r="I361" s="3">
        <v>-73.650000000000006</v>
      </c>
      <c r="J361" s="3">
        <v>0.12</v>
      </c>
    </row>
    <row r="362" spans="1:10" ht="15" customHeight="1" x14ac:dyDescent="0.25">
      <c r="A362" s="2" t="s">
        <v>74</v>
      </c>
      <c r="B362" s="2" t="s">
        <v>373</v>
      </c>
      <c r="C362" s="2" t="s">
        <v>294</v>
      </c>
      <c r="D362" s="2" t="s">
        <v>295</v>
      </c>
      <c r="E362" s="2" t="s">
        <v>123</v>
      </c>
      <c r="F362" s="2"/>
      <c r="G362" s="4">
        <v>1</v>
      </c>
      <c r="H362" s="3">
        <v>14.69</v>
      </c>
      <c r="I362" s="3">
        <v>-14.69</v>
      </c>
      <c r="J362" s="3"/>
    </row>
    <row r="363" spans="1:10" ht="15" customHeight="1" x14ac:dyDescent="0.25">
      <c r="A363" s="2" t="s">
        <v>74</v>
      </c>
      <c r="B363" s="2" t="s">
        <v>373</v>
      </c>
      <c r="C363" s="2" t="s">
        <v>294</v>
      </c>
      <c r="D363" s="2" t="s">
        <v>295</v>
      </c>
      <c r="E363" s="2" t="s">
        <v>123</v>
      </c>
      <c r="F363" s="2"/>
      <c r="G363" s="4">
        <v>1.0384746330000001</v>
      </c>
      <c r="H363" s="3">
        <v>14.69</v>
      </c>
      <c r="I363" s="3">
        <v>-15.25</v>
      </c>
      <c r="J363" s="3">
        <v>0.05</v>
      </c>
    </row>
    <row r="364" spans="1:10" ht="15" customHeight="1" x14ac:dyDescent="0.25">
      <c r="A364" s="2" t="s">
        <v>74</v>
      </c>
      <c r="B364" s="2" t="s">
        <v>373</v>
      </c>
      <c r="C364" s="2" t="s">
        <v>294</v>
      </c>
      <c r="D364" s="2" t="s">
        <v>295</v>
      </c>
      <c r="E364" s="2" t="s">
        <v>190</v>
      </c>
      <c r="F364" s="2"/>
      <c r="G364" s="4">
        <v>3</v>
      </c>
      <c r="H364" s="3">
        <v>26.34</v>
      </c>
      <c r="I364" s="3">
        <v>-79.010000000000005</v>
      </c>
      <c r="J364" s="3">
        <v>0.13</v>
      </c>
    </row>
    <row r="365" spans="1:10" ht="15" customHeight="1" x14ac:dyDescent="0.25">
      <c r="A365" s="2" t="s">
        <v>74</v>
      </c>
      <c r="B365" s="2" t="s">
        <v>373</v>
      </c>
      <c r="C365" s="2" t="s">
        <v>294</v>
      </c>
      <c r="D365" s="2" t="s">
        <v>295</v>
      </c>
      <c r="E365" s="2" t="s">
        <v>136</v>
      </c>
      <c r="F365" s="2"/>
      <c r="G365" s="4">
        <v>1.5947759399999999</v>
      </c>
      <c r="H365" s="3">
        <v>25.04</v>
      </c>
      <c r="I365" s="3">
        <v>-39.93</v>
      </c>
      <c r="J365" s="3">
        <v>0.06</v>
      </c>
    </row>
    <row r="366" spans="1:10" ht="15" customHeight="1" x14ac:dyDescent="0.25">
      <c r="A366" s="2" t="s">
        <v>74</v>
      </c>
      <c r="B366" s="2" t="s">
        <v>374</v>
      </c>
      <c r="C366" s="2" t="s">
        <v>294</v>
      </c>
      <c r="D366" s="2" t="s">
        <v>295</v>
      </c>
      <c r="E366" s="2" t="s">
        <v>375</v>
      </c>
      <c r="F366" s="2"/>
      <c r="G366" s="4">
        <v>1.6675949640000001</v>
      </c>
      <c r="H366" s="3">
        <v>17.95</v>
      </c>
      <c r="I366" s="3">
        <v>-29.94</v>
      </c>
      <c r="J366" s="3">
        <v>0.05</v>
      </c>
    </row>
    <row r="367" spans="1:10" ht="15" customHeight="1" x14ac:dyDescent="0.25">
      <c r="A367" s="2" t="s">
        <v>74</v>
      </c>
      <c r="B367" s="2" t="s">
        <v>376</v>
      </c>
      <c r="C367" s="2" t="s">
        <v>294</v>
      </c>
      <c r="D367" s="2" t="s">
        <v>295</v>
      </c>
      <c r="E367" s="2" t="s">
        <v>202</v>
      </c>
      <c r="F367" s="2"/>
      <c r="G367" s="4">
        <v>1.8486045929999999</v>
      </c>
      <c r="H367" s="3">
        <v>16.2</v>
      </c>
      <c r="I367" s="3">
        <v>-29.94</v>
      </c>
      <c r="J367" s="3">
        <v>0.05</v>
      </c>
    </row>
    <row r="368" spans="1:10" ht="15" customHeight="1" x14ac:dyDescent="0.25">
      <c r="A368" s="2" t="s">
        <v>74</v>
      </c>
      <c r="B368" s="2" t="s">
        <v>376</v>
      </c>
      <c r="C368" s="2" t="s">
        <v>294</v>
      </c>
      <c r="D368" s="2" t="s">
        <v>345</v>
      </c>
      <c r="E368" s="2" t="s">
        <v>375</v>
      </c>
      <c r="F368" s="2"/>
      <c r="G368" s="4">
        <v>-1</v>
      </c>
      <c r="H368" s="3">
        <v>18.16</v>
      </c>
      <c r="I368" s="3">
        <v>18.16</v>
      </c>
      <c r="J368" s="3"/>
    </row>
    <row r="369" spans="1:10" ht="15" customHeight="1" x14ac:dyDescent="0.25">
      <c r="A369" s="2" t="s">
        <v>74</v>
      </c>
      <c r="B369" s="2" t="s">
        <v>376</v>
      </c>
      <c r="C369" s="2" t="s">
        <v>294</v>
      </c>
      <c r="D369" s="2" t="s">
        <v>345</v>
      </c>
      <c r="E369" s="2" t="s">
        <v>375</v>
      </c>
      <c r="F369" s="2"/>
      <c r="G369" s="4">
        <v>-0.66759496399999996</v>
      </c>
      <c r="H369" s="3">
        <v>18.16</v>
      </c>
      <c r="I369" s="3">
        <v>12.12</v>
      </c>
      <c r="J369" s="3">
        <v>0.05</v>
      </c>
    </row>
    <row r="370" spans="1:10" ht="15" customHeight="1" x14ac:dyDescent="0.25">
      <c r="A370" s="2" t="s">
        <v>74</v>
      </c>
      <c r="B370" s="2" t="s">
        <v>376</v>
      </c>
      <c r="C370" s="2" t="s">
        <v>294</v>
      </c>
      <c r="D370" s="2" t="s">
        <v>295</v>
      </c>
      <c r="E370" s="2" t="s">
        <v>210</v>
      </c>
      <c r="F370" s="2"/>
      <c r="G370" s="4">
        <v>0.17849052100000001</v>
      </c>
      <c r="H370" s="3">
        <v>167.74</v>
      </c>
      <c r="I370" s="3">
        <v>-29.94</v>
      </c>
      <c r="J370" s="3">
        <v>0.05</v>
      </c>
    </row>
    <row r="371" spans="1:10" ht="15" customHeight="1" x14ac:dyDescent="0.25">
      <c r="A371" s="2" t="s">
        <v>74</v>
      </c>
      <c r="B371" s="2" t="s">
        <v>377</v>
      </c>
      <c r="C371" s="2" t="s">
        <v>294</v>
      </c>
      <c r="D371" s="2" t="s">
        <v>295</v>
      </c>
      <c r="E371" s="2" t="s">
        <v>206</v>
      </c>
      <c r="F371" s="2"/>
      <c r="G371" s="4">
        <v>1.2524052530000001</v>
      </c>
      <c r="H371" s="3">
        <v>23.91</v>
      </c>
      <c r="I371" s="3">
        <v>-29.94</v>
      </c>
      <c r="J371" s="3">
        <v>0.05</v>
      </c>
    </row>
    <row r="372" spans="1:10" ht="15" customHeight="1" x14ac:dyDescent="0.25">
      <c r="A372" s="2" t="s">
        <v>74</v>
      </c>
      <c r="B372" s="2" t="s">
        <v>377</v>
      </c>
      <c r="C372" s="2" t="s">
        <v>294</v>
      </c>
      <c r="D372" s="2" t="s">
        <v>295</v>
      </c>
      <c r="E372" s="2" t="s">
        <v>208</v>
      </c>
      <c r="F372" s="2"/>
      <c r="G372" s="4">
        <v>7</v>
      </c>
      <c r="H372" s="3">
        <v>3.41</v>
      </c>
      <c r="I372" s="3">
        <v>-23.86</v>
      </c>
      <c r="J372" s="3"/>
    </row>
    <row r="373" spans="1:10" ht="15" customHeight="1" x14ac:dyDescent="0.25">
      <c r="A373" s="2" t="s">
        <v>74</v>
      </c>
      <c r="B373" s="2" t="s">
        <v>377</v>
      </c>
      <c r="C373" s="2" t="s">
        <v>294</v>
      </c>
      <c r="D373" s="2" t="s">
        <v>295</v>
      </c>
      <c r="E373" s="2" t="s">
        <v>208</v>
      </c>
      <c r="F373" s="2"/>
      <c r="G373" s="4">
        <v>1.77214447</v>
      </c>
      <c r="H373" s="3">
        <v>3.41</v>
      </c>
      <c r="I373" s="3">
        <v>-6.04</v>
      </c>
      <c r="J373" s="3">
        <v>0.09</v>
      </c>
    </row>
    <row r="374" spans="1:10" ht="15" customHeight="1" x14ac:dyDescent="0.25">
      <c r="A374" s="2" t="s">
        <v>76</v>
      </c>
      <c r="B374" s="2" t="s">
        <v>378</v>
      </c>
      <c r="C374" s="2" t="s">
        <v>294</v>
      </c>
      <c r="D374" s="2" t="s">
        <v>295</v>
      </c>
      <c r="E374" s="2" t="s">
        <v>166</v>
      </c>
      <c r="F374" s="2"/>
      <c r="G374" s="4">
        <v>1.199889846</v>
      </c>
      <c r="H374" s="3">
        <v>50.84</v>
      </c>
      <c r="I374" s="3">
        <v>-61</v>
      </c>
      <c r="J374" s="3"/>
    </row>
    <row r="375" spans="1:10" ht="15" customHeight="1" x14ac:dyDescent="0.25">
      <c r="A375" s="2" t="s">
        <v>76</v>
      </c>
      <c r="B375" s="2" t="s">
        <v>378</v>
      </c>
      <c r="C375" s="2" t="s">
        <v>294</v>
      </c>
      <c r="D375" s="2" t="s">
        <v>295</v>
      </c>
      <c r="E375" s="2" t="s">
        <v>127</v>
      </c>
      <c r="F375" s="2"/>
      <c r="G375" s="4">
        <v>1.9285264479999999</v>
      </c>
      <c r="H375" s="3">
        <v>25.41</v>
      </c>
      <c r="I375" s="3">
        <v>-49</v>
      </c>
      <c r="J375" s="3"/>
    </row>
    <row r="376" spans="1:10" ht="15" customHeight="1" x14ac:dyDescent="0.25">
      <c r="A376" s="2" t="s">
        <v>76</v>
      </c>
      <c r="B376" s="2" t="s">
        <v>378</v>
      </c>
      <c r="C376" s="2" t="s">
        <v>294</v>
      </c>
      <c r="D376" s="2" t="s">
        <v>295</v>
      </c>
      <c r="E376" s="2" t="s">
        <v>143</v>
      </c>
      <c r="F376" s="2"/>
      <c r="G376" s="4">
        <v>1.206535068</v>
      </c>
      <c r="H376" s="3">
        <v>50.56</v>
      </c>
      <c r="I376" s="3">
        <v>-61</v>
      </c>
      <c r="J376" s="3"/>
    </row>
    <row r="377" spans="1:10" ht="15" customHeight="1" x14ac:dyDescent="0.25">
      <c r="A377" s="2" t="s">
        <v>76</v>
      </c>
      <c r="B377" s="2" t="s">
        <v>378</v>
      </c>
      <c r="C377" s="2" t="s">
        <v>294</v>
      </c>
      <c r="D377" s="2" t="s">
        <v>295</v>
      </c>
      <c r="E377" s="2" t="s">
        <v>185</v>
      </c>
      <c r="F377" s="2"/>
      <c r="G377" s="4">
        <v>1.016287186</v>
      </c>
      <c r="H377" s="3">
        <v>48.14</v>
      </c>
      <c r="I377" s="3">
        <v>-48.92</v>
      </c>
      <c r="J377" s="3">
        <v>0.08</v>
      </c>
    </row>
    <row r="378" spans="1:10" ht="15" customHeight="1" x14ac:dyDescent="0.25">
      <c r="A378" s="2" t="s">
        <v>76</v>
      </c>
      <c r="B378" s="2" t="s">
        <v>378</v>
      </c>
      <c r="C378" s="2" t="s">
        <v>294</v>
      </c>
      <c r="D378" s="2" t="s">
        <v>295</v>
      </c>
      <c r="E378" s="2" t="s">
        <v>129</v>
      </c>
      <c r="F378" s="2"/>
      <c r="G378" s="4">
        <v>1</v>
      </c>
      <c r="H378" s="3">
        <v>49.96</v>
      </c>
      <c r="I378" s="3">
        <v>-49.96</v>
      </c>
      <c r="J378" s="3">
        <v>0.08</v>
      </c>
    </row>
    <row r="379" spans="1:10" ht="15" customHeight="1" x14ac:dyDescent="0.25">
      <c r="A379" s="2" t="s">
        <v>76</v>
      </c>
      <c r="B379" s="2" t="s">
        <v>378</v>
      </c>
      <c r="C379" s="2" t="s">
        <v>294</v>
      </c>
      <c r="D379" s="2" t="s">
        <v>295</v>
      </c>
      <c r="E379" s="2" t="s">
        <v>119</v>
      </c>
      <c r="F379" s="2"/>
      <c r="G379" s="4">
        <v>0.36800892600000001</v>
      </c>
      <c r="H379" s="3">
        <v>100.38</v>
      </c>
      <c r="I379" s="3">
        <v>-36.94</v>
      </c>
      <c r="J379" s="3">
        <v>0.06</v>
      </c>
    </row>
    <row r="380" spans="1:10" ht="15" customHeight="1" x14ac:dyDescent="0.25">
      <c r="A380" s="2" t="s">
        <v>76</v>
      </c>
      <c r="B380" s="2" t="s">
        <v>378</v>
      </c>
      <c r="C380" s="2" t="s">
        <v>294</v>
      </c>
      <c r="D380" s="2" t="s">
        <v>295</v>
      </c>
      <c r="E380" s="2" t="s">
        <v>115</v>
      </c>
      <c r="F380" s="2"/>
      <c r="G380" s="4">
        <v>0.33558022399999998</v>
      </c>
      <c r="H380" s="3">
        <v>110.08</v>
      </c>
      <c r="I380" s="3">
        <v>-36.94</v>
      </c>
      <c r="J380" s="3">
        <v>0.06</v>
      </c>
    </row>
    <row r="381" spans="1:10" ht="15" customHeight="1" x14ac:dyDescent="0.25">
      <c r="A381" s="2" t="s">
        <v>76</v>
      </c>
      <c r="B381" s="2" t="s">
        <v>378</v>
      </c>
      <c r="C381" s="2" t="s">
        <v>294</v>
      </c>
      <c r="D381" s="2" t="s">
        <v>295</v>
      </c>
      <c r="E381" s="2" t="s">
        <v>162</v>
      </c>
      <c r="F381" s="2"/>
      <c r="G381" s="4">
        <v>1.4567394899999999</v>
      </c>
      <c r="H381" s="3">
        <v>25.36</v>
      </c>
      <c r="I381" s="3">
        <v>-36.94</v>
      </c>
      <c r="J381" s="3">
        <v>0.06</v>
      </c>
    </row>
    <row r="382" spans="1:10" ht="15" customHeight="1" x14ac:dyDescent="0.25">
      <c r="A382" s="2" t="s">
        <v>76</v>
      </c>
      <c r="B382" s="2" t="s">
        <v>379</v>
      </c>
      <c r="C382" s="2" t="s">
        <v>294</v>
      </c>
      <c r="D382" s="2" t="s">
        <v>295</v>
      </c>
      <c r="E382" s="2" t="s">
        <v>216</v>
      </c>
      <c r="F382" s="2"/>
      <c r="G382" s="4">
        <v>1.3964005960000001</v>
      </c>
      <c r="H382" s="3">
        <v>21.45</v>
      </c>
      <c r="I382" s="3">
        <v>-29.95</v>
      </c>
      <c r="J382" s="3">
        <v>0.05</v>
      </c>
    </row>
    <row r="383" spans="1:10" ht="15" customHeight="1" x14ac:dyDescent="0.25">
      <c r="A383" s="2" t="s">
        <v>76</v>
      </c>
      <c r="B383" s="2" t="s">
        <v>380</v>
      </c>
      <c r="C383" s="2" t="s">
        <v>294</v>
      </c>
      <c r="D383" s="2" t="s">
        <v>295</v>
      </c>
      <c r="E383" s="2" t="s">
        <v>215</v>
      </c>
      <c r="F383" s="2"/>
      <c r="G383" s="4">
        <v>20</v>
      </c>
      <c r="H383" s="3">
        <v>29.28</v>
      </c>
      <c r="I383" s="3">
        <v>-585.6</v>
      </c>
      <c r="J383" s="3">
        <v>0.95</v>
      </c>
    </row>
    <row r="384" spans="1:10" ht="15" customHeight="1" x14ac:dyDescent="0.25">
      <c r="A384" s="2" t="s">
        <v>76</v>
      </c>
      <c r="B384" s="2" t="s">
        <v>380</v>
      </c>
      <c r="C384" s="2" t="s">
        <v>294</v>
      </c>
      <c r="D384" s="2" t="s">
        <v>345</v>
      </c>
      <c r="E384" s="2" t="s">
        <v>117</v>
      </c>
      <c r="F384" s="2"/>
      <c r="G384" s="4">
        <v>-39</v>
      </c>
      <c r="H384" s="3">
        <v>16.760000000000002</v>
      </c>
      <c r="I384" s="3">
        <v>653.78</v>
      </c>
      <c r="J384" s="3"/>
    </row>
    <row r="385" spans="1:10" ht="15" customHeight="1" x14ac:dyDescent="0.25">
      <c r="A385" s="2" t="s">
        <v>76</v>
      </c>
      <c r="B385" s="2" t="s">
        <v>380</v>
      </c>
      <c r="C385" s="2" t="s">
        <v>294</v>
      </c>
      <c r="D385" s="2" t="s">
        <v>345</v>
      </c>
      <c r="E385" s="2" t="s">
        <v>117</v>
      </c>
      <c r="F385" s="2"/>
      <c r="G385" s="4">
        <v>-0.418700619</v>
      </c>
      <c r="H385" s="3">
        <v>16.760000000000002</v>
      </c>
      <c r="I385" s="3">
        <v>7.02</v>
      </c>
      <c r="J385" s="3">
        <v>1.06</v>
      </c>
    </row>
    <row r="386" spans="1:10" ht="15" customHeight="1" x14ac:dyDescent="0.25">
      <c r="A386" s="2" t="s">
        <v>76</v>
      </c>
      <c r="B386" s="2" t="s">
        <v>381</v>
      </c>
      <c r="C386" s="2" t="s">
        <v>294</v>
      </c>
      <c r="D386" s="2" t="s">
        <v>345</v>
      </c>
      <c r="E386" s="2" t="s">
        <v>202</v>
      </c>
      <c r="F386" s="2"/>
      <c r="G386" s="4">
        <v>-1</v>
      </c>
      <c r="H386" s="3">
        <v>16.420000000000002</v>
      </c>
      <c r="I386" s="3">
        <v>16.420000000000002</v>
      </c>
      <c r="J386" s="3"/>
    </row>
    <row r="387" spans="1:10" ht="15" customHeight="1" x14ac:dyDescent="0.25">
      <c r="A387" s="2" t="s">
        <v>76</v>
      </c>
      <c r="B387" s="2" t="s">
        <v>381</v>
      </c>
      <c r="C387" s="2" t="s">
        <v>294</v>
      </c>
      <c r="D387" s="2" t="s">
        <v>345</v>
      </c>
      <c r="E387" s="2" t="s">
        <v>202</v>
      </c>
      <c r="F387" s="2"/>
      <c r="G387" s="4">
        <v>-0.84860459300000002</v>
      </c>
      <c r="H387" s="3">
        <v>16.420000000000002</v>
      </c>
      <c r="I387" s="3">
        <v>13.93</v>
      </c>
      <c r="J387" s="3">
        <v>0.05</v>
      </c>
    </row>
    <row r="388" spans="1:10" ht="15" customHeight="1" x14ac:dyDescent="0.25">
      <c r="A388" s="2" t="s">
        <v>76</v>
      </c>
      <c r="B388" s="2" t="s">
        <v>381</v>
      </c>
      <c r="C388" s="2" t="s">
        <v>294</v>
      </c>
      <c r="D388" s="2" t="s">
        <v>295</v>
      </c>
      <c r="E388" s="2" t="s">
        <v>183</v>
      </c>
      <c r="F388" s="2"/>
      <c r="G388" s="4">
        <v>1</v>
      </c>
      <c r="H388" s="3">
        <v>26.68</v>
      </c>
      <c r="I388" s="3">
        <v>-26.68</v>
      </c>
      <c r="J388" s="3"/>
    </row>
    <row r="389" spans="1:10" ht="15" customHeight="1" x14ac:dyDescent="0.25">
      <c r="A389" s="2" t="s">
        <v>76</v>
      </c>
      <c r="B389" s="2" t="s">
        <v>381</v>
      </c>
      <c r="C389" s="2" t="s">
        <v>294</v>
      </c>
      <c r="D389" s="2" t="s">
        <v>295</v>
      </c>
      <c r="E389" s="2" t="s">
        <v>183</v>
      </c>
      <c r="F389" s="2"/>
      <c r="G389" s="4">
        <v>1.320104798</v>
      </c>
      <c r="H389" s="3">
        <v>26.68</v>
      </c>
      <c r="I389" s="3">
        <v>-35.22</v>
      </c>
      <c r="J389" s="3">
        <v>0.1</v>
      </c>
    </row>
    <row r="390" spans="1:10" ht="15" customHeight="1" x14ac:dyDescent="0.25">
      <c r="A390" s="2" t="s">
        <v>76</v>
      </c>
      <c r="B390" s="2" t="s">
        <v>381</v>
      </c>
      <c r="C390" s="2" t="s">
        <v>294</v>
      </c>
      <c r="D390" s="2" t="s">
        <v>295</v>
      </c>
      <c r="E390" s="2" t="s">
        <v>218</v>
      </c>
      <c r="F390" s="2"/>
      <c r="G390" s="4">
        <v>4</v>
      </c>
      <c r="H390" s="3">
        <v>54.44</v>
      </c>
      <c r="I390" s="3">
        <v>-217.75</v>
      </c>
      <c r="J390" s="3"/>
    </row>
    <row r="391" spans="1:10" ht="15" customHeight="1" x14ac:dyDescent="0.25">
      <c r="A391" s="2" t="s">
        <v>76</v>
      </c>
      <c r="B391" s="2" t="s">
        <v>381</v>
      </c>
      <c r="C391" s="2" t="s">
        <v>294</v>
      </c>
      <c r="D391" s="2" t="s">
        <v>295</v>
      </c>
      <c r="E391" s="2" t="s">
        <v>218</v>
      </c>
      <c r="F391" s="2"/>
      <c r="G391" s="4">
        <v>1.9606258270000001</v>
      </c>
      <c r="H391" s="3">
        <v>54.44</v>
      </c>
      <c r="I391" s="3">
        <v>-106.73</v>
      </c>
      <c r="J391" s="3">
        <v>0.52</v>
      </c>
    </row>
    <row r="392" spans="1:10" ht="15" customHeight="1" x14ac:dyDescent="0.25">
      <c r="A392" s="2" t="s">
        <v>76</v>
      </c>
      <c r="B392" s="2" t="s">
        <v>381</v>
      </c>
      <c r="C392" s="2" t="s">
        <v>294</v>
      </c>
      <c r="D392" s="2" t="s">
        <v>295</v>
      </c>
      <c r="E392" s="2" t="s">
        <v>220</v>
      </c>
      <c r="F392" s="2"/>
      <c r="G392" s="4">
        <v>6.3424902000000005E-2</v>
      </c>
      <c r="H392" s="3">
        <v>472.21</v>
      </c>
      <c r="I392" s="3">
        <v>-29.95</v>
      </c>
      <c r="J392" s="3">
        <v>0.05</v>
      </c>
    </row>
    <row r="393" spans="1:10" ht="15" customHeight="1" x14ac:dyDescent="0.25">
      <c r="A393" s="2" t="s">
        <v>76</v>
      </c>
      <c r="B393" s="2" t="s">
        <v>381</v>
      </c>
      <c r="C393" s="2" t="s">
        <v>294</v>
      </c>
      <c r="D393" s="2" t="s">
        <v>295</v>
      </c>
      <c r="E393" s="2" t="s">
        <v>152</v>
      </c>
      <c r="F393" s="2"/>
      <c r="G393" s="4">
        <v>1.1079545449999999</v>
      </c>
      <c r="H393" s="3">
        <v>22.53</v>
      </c>
      <c r="I393" s="3">
        <v>-24.96</v>
      </c>
      <c r="J393" s="3">
        <v>0.04</v>
      </c>
    </row>
    <row r="394" spans="1:10" ht="15" customHeight="1" x14ac:dyDescent="0.25">
      <c r="A394" s="2" t="s">
        <v>76</v>
      </c>
      <c r="B394" s="2" t="s">
        <v>381</v>
      </c>
      <c r="C394" s="2" t="s">
        <v>294</v>
      </c>
      <c r="D394" s="2" t="s">
        <v>345</v>
      </c>
      <c r="E394" s="2" t="s">
        <v>123</v>
      </c>
      <c r="F394" s="2"/>
      <c r="G394" s="4">
        <v>-21</v>
      </c>
      <c r="H394" s="3">
        <v>15.04</v>
      </c>
      <c r="I394" s="3">
        <v>315.74</v>
      </c>
      <c r="J394" s="3"/>
    </row>
    <row r="395" spans="1:10" ht="15" customHeight="1" x14ac:dyDescent="0.25">
      <c r="A395" s="2" t="s">
        <v>76</v>
      </c>
      <c r="B395" s="2" t="s">
        <v>381</v>
      </c>
      <c r="C395" s="2" t="s">
        <v>294</v>
      </c>
      <c r="D395" s="2" t="s">
        <v>345</v>
      </c>
      <c r="E395" s="2" t="s">
        <v>123</v>
      </c>
      <c r="F395" s="2"/>
      <c r="G395" s="4">
        <v>-0.70880487700000006</v>
      </c>
      <c r="H395" s="3">
        <v>15.04</v>
      </c>
      <c r="I395" s="3">
        <v>10.66</v>
      </c>
      <c r="J395" s="3">
        <v>0.52</v>
      </c>
    </row>
    <row r="396" spans="1:10" ht="15" customHeight="1" x14ac:dyDescent="0.25">
      <c r="A396" s="2" t="s">
        <v>76</v>
      </c>
      <c r="B396" s="2" t="s">
        <v>382</v>
      </c>
      <c r="C396" s="2" t="s">
        <v>294</v>
      </c>
      <c r="D396" s="2" t="s">
        <v>345</v>
      </c>
      <c r="E396" s="2" t="s">
        <v>138</v>
      </c>
      <c r="F396" s="2"/>
      <c r="G396" s="4">
        <v>-5</v>
      </c>
      <c r="H396" s="3">
        <v>19.18</v>
      </c>
      <c r="I396" s="3">
        <v>95.91</v>
      </c>
      <c r="J396" s="3"/>
    </row>
    <row r="397" spans="1:10" ht="15" customHeight="1" x14ac:dyDescent="0.25">
      <c r="A397" s="2" t="s">
        <v>76</v>
      </c>
      <c r="B397" s="2" t="s">
        <v>382</v>
      </c>
      <c r="C397" s="2" t="s">
        <v>294</v>
      </c>
      <c r="D397" s="2" t="s">
        <v>345</v>
      </c>
      <c r="E397" s="2" t="s">
        <v>138</v>
      </c>
      <c r="F397" s="2"/>
      <c r="G397" s="4">
        <v>-0.57314069899999998</v>
      </c>
      <c r="H397" s="3">
        <v>19.18</v>
      </c>
      <c r="I397" s="3">
        <v>10.99</v>
      </c>
      <c r="J397" s="3">
        <v>0.17</v>
      </c>
    </row>
    <row r="398" spans="1:10" ht="15" customHeight="1" x14ac:dyDescent="0.25">
      <c r="A398" s="2" t="s">
        <v>76</v>
      </c>
      <c r="B398" s="2" t="s">
        <v>382</v>
      </c>
      <c r="C398" s="2" t="s">
        <v>294</v>
      </c>
      <c r="D398" s="2" t="s">
        <v>295</v>
      </c>
      <c r="E398" s="2" t="s">
        <v>383</v>
      </c>
      <c r="F398" s="2"/>
      <c r="G398" s="4">
        <v>0.53087776499999995</v>
      </c>
      <c r="H398" s="3">
        <v>56.42</v>
      </c>
      <c r="I398" s="3">
        <v>-29.95</v>
      </c>
      <c r="J398" s="3">
        <v>0.05</v>
      </c>
    </row>
    <row r="399" spans="1:10" ht="15" customHeight="1" x14ac:dyDescent="0.25">
      <c r="A399" s="2" t="s">
        <v>76</v>
      </c>
      <c r="B399" s="2" t="s">
        <v>382</v>
      </c>
      <c r="C399" s="2" t="s">
        <v>294</v>
      </c>
      <c r="D399" s="2" t="s">
        <v>345</v>
      </c>
      <c r="E399" s="2" t="s">
        <v>383</v>
      </c>
      <c r="F399" s="2"/>
      <c r="G399" s="4">
        <v>-0.53087776499999995</v>
      </c>
      <c r="H399" s="3">
        <v>57.63</v>
      </c>
      <c r="I399" s="3">
        <v>30.6</v>
      </c>
      <c r="J399" s="3">
        <v>0.05</v>
      </c>
    </row>
    <row r="400" spans="1:10" ht="15" customHeight="1" x14ac:dyDescent="0.25">
      <c r="A400" s="2" t="s">
        <v>76</v>
      </c>
      <c r="B400" s="2" t="s">
        <v>382</v>
      </c>
      <c r="C400" s="2" t="s">
        <v>294</v>
      </c>
      <c r="D400" s="2" t="s">
        <v>345</v>
      </c>
      <c r="E400" s="2" t="s">
        <v>210</v>
      </c>
      <c r="F400" s="2"/>
      <c r="G400" s="4">
        <v>-0.17849052100000001</v>
      </c>
      <c r="H400" s="3">
        <v>146.16999999999999</v>
      </c>
      <c r="I400" s="3">
        <v>26.09</v>
      </c>
      <c r="J400" s="3">
        <v>0.04</v>
      </c>
    </row>
    <row r="401" spans="1:10" ht="15" customHeight="1" x14ac:dyDescent="0.25">
      <c r="A401" s="2" t="s">
        <v>76</v>
      </c>
      <c r="B401" s="2" t="s">
        <v>384</v>
      </c>
      <c r="C401" s="2" t="s">
        <v>294</v>
      </c>
      <c r="D401" s="2" t="s">
        <v>295</v>
      </c>
      <c r="E401" s="2" t="s">
        <v>383</v>
      </c>
      <c r="F401" s="2"/>
      <c r="G401" s="4">
        <v>0.50458251899999995</v>
      </c>
      <c r="H401" s="3">
        <v>59.36</v>
      </c>
      <c r="I401" s="3">
        <v>-29.95</v>
      </c>
      <c r="J401" s="3">
        <v>0.05</v>
      </c>
    </row>
    <row r="402" spans="1:10" ht="15" customHeight="1" x14ac:dyDescent="0.25">
      <c r="A402" s="2" t="s">
        <v>76</v>
      </c>
      <c r="B402" s="2" t="s">
        <v>384</v>
      </c>
      <c r="C402" s="2" t="s">
        <v>294</v>
      </c>
      <c r="D402" s="2" t="s">
        <v>345</v>
      </c>
      <c r="E402" s="2" t="s">
        <v>383</v>
      </c>
      <c r="F402" s="2"/>
      <c r="G402" s="4">
        <v>-0.50458251899999995</v>
      </c>
      <c r="H402" s="3">
        <v>62.7</v>
      </c>
      <c r="I402" s="3">
        <v>31.64</v>
      </c>
      <c r="J402" s="3">
        <v>0.05</v>
      </c>
    </row>
    <row r="403" spans="1:10" ht="15" customHeight="1" x14ac:dyDescent="0.25">
      <c r="A403" s="2" t="s">
        <v>76</v>
      </c>
      <c r="B403" s="2" t="s">
        <v>384</v>
      </c>
      <c r="C403" s="2" t="s">
        <v>294</v>
      </c>
      <c r="D403" s="2" t="s">
        <v>295</v>
      </c>
      <c r="E403" s="2" t="s">
        <v>385</v>
      </c>
      <c r="F403" s="2"/>
      <c r="G403" s="4">
        <v>0.35728771500000001</v>
      </c>
      <c r="H403" s="3">
        <v>83.83</v>
      </c>
      <c r="I403" s="3">
        <v>-29.95</v>
      </c>
      <c r="J403" s="3">
        <v>0.05</v>
      </c>
    </row>
    <row r="404" spans="1:10" ht="15" customHeight="1" x14ac:dyDescent="0.25">
      <c r="A404" s="2" t="s">
        <v>76</v>
      </c>
      <c r="B404" s="2" t="s">
        <v>384</v>
      </c>
      <c r="C404" s="2" t="s">
        <v>294</v>
      </c>
      <c r="D404" s="2" t="s">
        <v>345</v>
      </c>
      <c r="E404" s="2" t="s">
        <v>385</v>
      </c>
      <c r="F404" s="2"/>
      <c r="G404" s="4">
        <v>-0.35728771500000001</v>
      </c>
      <c r="H404" s="3">
        <v>84.22</v>
      </c>
      <c r="I404" s="3">
        <v>30.09</v>
      </c>
      <c r="J404" s="3">
        <v>0.05</v>
      </c>
    </row>
    <row r="405" spans="1:10" ht="15" customHeight="1" x14ac:dyDescent="0.25">
      <c r="A405" s="2" t="s">
        <v>76</v>
      </c>
      <c r="B405" s="2" t="s">
        <v>386</v>
      </c>
      <c r="C405" s="2" t="s">
        <v>294</v>
      </c>
      <c r="D405" s="2" t="s">
        <v>295</v>
      </c>
      <c r="E405" s="2" t="s">
        <v>387</v>
      </c>
      <c r="F405" s="2"/>
      <c r="G405" s="4">
        <v>1</v>
      </c>
      <c r="H405" s="3">
        <v>57.8</v>
      </c>
      <c r="I405" s="3">
        <v>-57.8</v>
      </c>
      <c r="J405" s="3">
        <v>0.09</v>
      </c>
    </row>
    <row r="406" spans="1:10" ht="15" customHeight="1" x14ac:dyDescent="0.25">
      <c r="A406" s="2" t="s">
        <v>76</v>
      </c>
      <c r="B406" s="2" t="s">
        <v>386</v>
      </c>
      <c r="C406" s="2" t="s">
        <v>294</v>
      </c>
      <c r="D406" s="2" t="s">
        <v>345</v>
      </c>
      <c r="E406" s="2" t="s">
        <v>387</v>
      </c>
      <c r="F406" s="2"/>
      <c r="G406" s="4">
        <v>-1</v>
      </c>
      <c r="H406" s="3">
        <v>55.86</v>
      </c>
      <c r="I406" s="3">
        <v>55.86</v>
      </c>
      <c r="J406" s="3">
        <v>0.09</v>
      </c>
    </row>
    <row r="407" spans="1:10" ht="15" customHeight="1" x14ac:dyDescent="0.25">
      <c r="A407" s="2" t="s">
        <v>76</v>
      </c>
      <c r="B407" s="2" t="s">
        <v>386</v>
      </c>
      <c r="C407" s="2" t="s">
        <v>294</v>
      </c>
      <c r="D407" s="2" t="s">
        <v>295</v>
      </c>
      <c r="E407" s="2" t="s">
        <v>222</v>
      </c>
      <c r="F407" s="2"/>
      <c r="G407" s="4">
        <v>12</v>
      </c>
      <c r="H407" s="3">
        <v>3.73</v>
      </c>
      <c r="I407" s="3">
        <v>-44.75</v>
      </c>
      <c r="J407" s="3"/>
    </row>
    <row r="408" spans="1:10" ht="15" customHeight="1" x14ac:dyDescent="0.25">
      <c r="A408" s="2" t="s">
        <v>76</v>
      </c>
      <c r="B408" s="2" t="s">
        <v>386</v>
      </c>
      <c r="C408" s="2" t="s">
        <v>294</v>
      </c>
      <c r="D408" s="2" t="s">
        <v>295</v>
      </c>
      <c r="E408" s="2" t="s">
        <v>222</v>
      </c>
      <c r="F408" s="2"/>
      <c r="G408" s="4">
        <v>1.370193596</v>
      </c>
      <c r="H408" s="3">
        <v>3.73</v>
      </c>
      <c r="I408" s="3">
        <v>-5.1100000000000003</v>
      </c>
      <c r="J408" s="3">
        <v>0.14000000000000001</v>
      </c>
    </row>
    <row r="409" spans="1:10" ht="15" customHeight="1" x14ac:dyDescent="0.25">
      <c r="A409" s="2" t="s">
        <v>76</v>
      </c>
      <c r="B409" s="2" t="s">
        <v>388</v>
      </c>
      <c r="C409" s="2" t="s">
        <v>294</v>
      </c>
      <c r="D409" s="2" t="s">
        <v>295</v>
      </c>
      <c r="E409" s="2" t="s">
        <v>383</v>
      </c>
      <c r="F409" s="2"/>
      <c r="G409" s="4">
        <v>0.44483721399999998</v>
      </c>
      <c r="H409" s="3">
        <v>67.33</v>
      </c>
      <c r="I409" s="3">
        <v>-29.95</v>
      </c>
      <c r="J409" s="3">
        <v>0.05</v>
      </c>
    </row>
    <row r="410" spans="1:10" ht="15" customHeight="1" x14ac:dyDescent="0.25">
      <c r="A410" s="2" t="s">
        <v>76</v>
      </c>
      <c r="B410" s="2" t="s">
        <v>388</v>
      </c>
      <c r="C410" s="2" t="s">
        <v>294</v>
      </c>
      <c r="D410" s="2" t="s">
        <v>345</v>
      </c>
      <c r="E410" s="2" t="s">
        <v>383</v>
      </c>
      <c r="F410" s="2"/>
      <c r="G410" s="4">
        <v>-0.44483721399999998</v>
      </c>
      <c r="H410" s="3">
        <v>69.47</v>
      </c>
      <c r="I410" s="3">
        <v>30.9</v>
      </c>
      <c r="J410" s="3">
        <v>0.05</v>
      </c>
    </row>
    <row r="411" spans="1:10" ht="15" customHeight="1" x14ac:dyDescent="0.25">
      <c r="A411" s="2" t="s">
        <v>76</v>
      </c>
      <c r="B411" s="2" t="s">
        <v>389</v>
      </c>
      <c r="C411" s="2" t="s">
        <v>294</v>
      </c>
      <c r="D411" s="2" t="s">
        <v>295</v>
      </c>
      <c r="E411" s="2" t="s">
        <v>383</v>
      </c>
      <c r="F411" s="2"/>
      <c r="G411" s="4">
        <v>0.51310604699999995</v>
      </c>
      <c r="H411" s="3">
        <v>58.37</v>
      </c>
      <c r="I411" s="3">
        <v>-29.95</v>
      </c>
      <c r="J411" s="3">
        <v>0.05</v>
      </c>
    </row>
    <row r="412" spans="1:10" ht="15" customHeight="1" x14ac:dyDescent="0.25">
      <c r="A412" s="2" t="s">
        <v>76</v>
      </c>
      <c r="B412" s="2" t="s">
        <v>389</v>
      </c>
      <c r="C412" s="2" t="s">
        <v>294</v>
      </c>
      <c r="D412" s="2" t="s">
        <v>345</v>
      </c>
      <c r="E412" s="2" t="s">
        <v>383</v>
      </c>
      <c r="F412" s="2"/>
      <c r="G412" s="4">
        <v>-0.51310604699999995</v>
      </c>
      <c r="H412" s="3">
        <v>59.84</v>
      </c>
      <c r="I412" s="3">
        <v>30.7</v>
      </c>
      <c r="J412" s="3">
        <v>0.05</v>
      </c>
    </row>
    <row r="413" spans="1:10" ht="15" customHeight="1" x14ac:dyDescent="0.25">
      <c r="A413" s="2" t="s">
        <v>76</v>
      </c>
      <c r="B413" s="2" t="s">
        <v>390</v>
      </c>
      <c r="C413" s="2" t="s">
        <v>294</v>
      </c>
      <c r="D413" s="2" t="s">
        <v>295</v>
      </c>
      <c r="E413" s="2" t="s">
        <v>383</v>
      </c>
      <c r="F413" s="2"/>
      <c r="G413" s="4">
        <v>1</v>
      </c>
      <c r="H413" s="3">
        <v>57.29</v>
      </c>
      <c r="I413" s="3">
        <v>-57.29</v>
      </c>
      <c r="J413" s="3"/>
    </row>
    <row r="414" spans="1:10" ht="15" customHeight="1" x14ac:dyDescent="0.25">
      <c r="A414" s="2" t="s">
        <v>76</v>
      </c>
      <c r="B414" s="2" t="s">
        <v>390</v>
      </c>
      <c r="C414" s="2" t="s">
        <v>294</v>
      </c>
      <c r="D414" s="2" t="s">
        <v>295</v>
      </c>
      <c r="E414" s="2" t="s">
        <v>383</v>
      </c>
      <c r="F414" s="2"/>
      <c r="G414" s="4">
        <v>1.613981439</v>
      </c>
      <c r="H414" s="3">
        <v>57.29</v>
      </c>
      <c r="I414" s="3">
        <v>-92.47</v>
      </c>
      <c r="J414" s="3">
        <v>0.24</v>
      </c>
    </row>
    <row r="415" spans="1:10" ht="15" customHeight="1" x14ac:dyDescent="0.25">
      <c r="A415" s="2" t="s">
        <v>76</v>
      </c>
      <c r="B415" s="2" t="s">
        <v>390</v>
      </c>
      <c r="C415" s="2" t="s">
        <v>294</v>
      </c>
      <c r="D415" s="2" t="s">
        <v>345</v>
      </c>
      <c r="E415" s="2" t="s">
        <v>383</v>
      </c>
      <c r="F415" s="2"/>
      <c r="G415" s="4">
        <v>-2</v>
      </c>
      <c r="H415" s="3">
        <v>56.51</v>
      </c>
      <c r="I415" s="3">
        <v>113.01</v>
      </c>
      <c r="J415" s="3"/>
    </row>
    <row r="416" spans="1:10" ht="15" customHeight="1" x14ac:dyDescent="0.25">
      <c r="A416" s="2" t="s">
        <v>76</v>
      </c>
      <c r="B416" s="2" t="s">
        <v>390</v>
      </c>
      <c r="C416" s="2" t="s">
        <v>294</v>
      </c>
      <c r="D416" s="2" t="s">
        <v>345</v>
      </c>
      <c r="E416" s="2" t="s">
        <v>383</v>
      </c>
      <c r="F416" s="2"/>
      <c r="G416" s="4">
        <v>-0.61398143900000002</v>
      </c>
      <c r="H416" s="3">
        <v>56.51</v>
      </c>
      <c r="I416" s="3">
        <v>34.69</v>
      </c>
      <c r="J416" s="3">
        <v>0.24</v>
      </c>
    </row>
    <row r="417" spans="1:10" ht="15" customHeight="1" x14ac:dyDescent="0.25">
      <c r="A417" s="2" t="s">
        <v>76</v>
      </c>
      <c r="B417" s="2" t="s">
        <v>390</v>
      </c>
      <c r="C417" s="2" t="s">
        <v>294</v>
      </c>
      <c r="D417" s="2" t="s">
        <v>295</v>
      </c>
      <c r="E417" s="2" t="s">
        <v>383</v>
      </c>
      <c r="F417" s="2"/>
      <c r="G417" s="4">
        <v>1</v>
      </c>
      <c r="H417" s="3">
        <v>56.78</v>
      </c>
      <c r="I417" s="3">
        <v>-56.78</v>
      </c>
      <c r="J417" s="3"/>
    </row>
    <row r="418" spans="1:10" ht="15" customHeight="1" x14ac:dyDescent="0.25">
      <c r="A418" s="2" t="s">
        <v>76</v>
      </c>
      <c r="B418" s="2" t="s">
        <v>390</v>
      </c>
      <c r="C418" s="2" t="s">
        <v>294</v>
      </c>
      <c r="D418" s="2" t="s">
        <v>295</v>
      </c>
      <c r="E418" s="2" t="s">
        <v>383</v>
      </c>
      <c r="F418" s="2"/>
      <c r="G418" s="4">
        <v>1.637548432</v>
      </c>
      <c r="H418" s="3">
        <v>56.78</v>
      </c>
      <c r="I418" s="3">
        <v>-92.98</v>
      </c>
      <c r="J418" s="3">
        <v>0.24</v>
      </c>
    </row>
    <row r="419" spans="1:10" ht="15" customHeight="1" x14ac:dyDescent="0.25">
      <c r="A419" s="2" t="s">
        <v>76</v>
      </c>
      <c r="B419" s="2" t="s">
        <v>390</v>
      </c>
      <c r="C419" s="2" t="s">
        <v>294</v>
      </c>
      <c r="D419" s="2" t="s">
        <v>345</v>
      </c>
      <c r="E419" s="2" t="s">
        <v>383</v>
      </c>
      <c r="F419" s="2"/>
      <c r="G419" s="4">
        <v>-2</v>
      </c>
      <c r="H419" s="3">
        <v>57.46</v>
      </c>
      <c r="I419" s="3">
        <v>114.92</v>
      </c>
      <c r="J419" s="3"/>
    </row>
    <row r="420" spans="1:10" ht="15" customHeight="1" x14ac:dyDescent="0.25">
      <c r="A420" s="2" t="s">
        <v>76</v>
      </c>
      <c r="B420" s="2" t="s">
        <v>390</v>
      </c>
      <c r="C420" s="2" t="s">
        <v>294</v>
      </c>
      <c r="D420" s="2" t="s">
        <v>345</v>
      </c>
      <c r="E420" s="2" t="s">
        <v>383</v>
      </c>
      <c r="F420" s="2"/>
      <c r="G420" s="4">
        <v>-0.637548432</v>
      </c>
      <c r="H420" s="3">
        <v>57.46</v>
      </c>
      <c r="I420" s="3">
        <v>36.630000000000003</v>
      </c>
      <c r="J420" s="3">
        <v>0.24</v>
      </c>
    </row>
    <row r="421" spans="1:10" ht="15" customHeight="1" x14ac:dyDescent="0.25">
      <c r="A421" s="2" t="s">
        <v>76</v>
      </c>
      <c r="B421" s="2" t="s">
        <v>391</v>
      </c>
      <c r="C421" s="2" t="s">
        <v>294</v>
      </c>
      <c r="D421" s="2" t="s">
        <v>295</v>
      </c>
      <c r="E421" s="2" t="s">
        <v>383</v>
      </c>
      <c r="F421" s="2"/>
      <c r="G421" s="4">
        <v>1</v>
      </c>
      <c r="H421" s="3">
        <v>55.51</v>
      </c>
      <c r="I421" s="3">
        <v>-55.51</v>
      </c>
      <c r="J421" s="3"/>
    </row>
    <row r="422" spans="1:10" ht="15" customHeight="1" x14ac:dyDescent="0.25">
      <c r="A422" s="2" t="s">
        <v>76</v>
      </c>
      <c r="B422" s="2" t="s">
        <v>391</v>
      </c>
      <c r="C422" s="2" t="s">
        <v>294</v>
      </c>
      <c r="D422" s="2" t="s">
        <v>295</v>
      </c>
      <c r="E422" s="2" t="s">
        <v>383</v>
      </c>
      <c r="F422" s="2"/>
      <c r="G422" s="4">
        <v>1.69779134</v>
      </c>
      <c r="H422" s="3">
        <v>55.51</v>
      </c>
      <c r="I422" s="3">
        <v>-94.25</v>
      </c>
      <c r="J422" s="3">
        <v>0.24</v>
      </c>
    </row>
    <row r="423" spans="1:10" ht="15" customHeight="1" x14ac:dyDescent="0.25">
      <c r="A423" s="2" t="s">
        <v>76</v>
      </c>
      <c r="B423" s="2" t="s">
        <v>391</v>
      </c>
      <c r="C423" s="2" t="s">
        <v>294</v>
      </c>
      <c r="D423" s="2" t="s">
        <v>345</v>
      </c>
      <c r="E423" s="2" t="s">
        <v>383</v>
      </c>
      <c r="F423" s="2"/>
      <c r="G423" s="4">
        <v>-2</v>
      </c>
      <c r="H423" s="3">
        <v>56.18</v>
      </c>
      <c r="I423" s="3">
        <v>112.36</v>
      </c>
      <c r="J423" s="3"/>
    </row>
    <row r="424" spans="1:10" ht="15" customHeight="1" x14ac:dyDescent="0.25">
      <c r="A424" s="2" t="s">
        <v>76</v>
      </c>
      <c r="B424" s="2" t="s">
        <v>391</v>
      </c>
      <c r="C424" s="2" t="s">
        <v>294</v>
      </c>
      <c r="D424" s="2" t="s">
        <v>345</v>
      </c>
      <c r="E424" s="2" t="s">
        <v>383</v>
      </c>
      <c r="F424" s="2"/>
      <c r="G424" s="4">
        <v>-0.69779133999999998</v>
      </c>
      <c r="H424" s="3">
        <v>56.18</v>
      </c>
      <c r="I424" s="3">
        <v>39.200000000000003</v>
      </c>
      <c r="J424" s="3">
        <v>0.24</v>
      </c>
    </row>
    <row r="425" spans="1:10" ht="15" customHeight="1" x14ac:dyDescent="0.25">
      <c r="A425" s="2" t="s">
        <v>76</v>
      </c>
      <c r="B425" s="2" t="s">
        <v>391</v>
      </c>
      <c r="C425" s="2" t="s">
        <v>294</v>
      </c>
      <c r="D425" s="2" t="s">
        <v>295</v>
      </c>
      <c r="E425" s="2" t="s">
        <v>387</v>
      </c>
      <c r="F425" s="2"/>
      <c r="G425" s="4">
        <v>3</v>
      </c>
      <c r="H425" s="3">
        <v>48.21</v>
      </c>
      <c r="I425" s="3">
        <v>-144.62</v>
      </c>
      <c r="J425" s="3">
        <v>0.23</v>
      </c>
    </row>
    <row r="426" spans="1:10" ht="15" customHeight="1" x14ac:dyDescent="0.25">
      <c r="A426" s="2" t="s">
        <v>76</v>
      </c>
      <c r="B426" s="2" t="s">
        <v>391</v>
      </c>
      <c r="C426" s="2" t="s">
        <v>294</v>
      </c>
      <c r="D426" s="2" t="s">
        <v>345</v>
      </c>
      <c r="E426" s="2" t="s">
        <v>387</v>
      </c>
      <c r="F426" s="2"/>
      <c r="G426" s="4">
        <v>-3</v>
      </c>
      <c r="H426" s="3">
        <v>48.67</v>
      </c>
      <c r="I426" s="3">
        <v>146.01</v>
      </c>
      <c r="J426" s="3">
        <v>0.23</v>
      </c>
    </row>
    <row r="427" spans="1:10" ht="15" customHeight="1" x14ac:dyDescent="0.25">
      <c r="A427" s="2" t="s">
        <v>76</v>
      </c>
      <c r="B427" s="2" t="s">
        <v>392</v>
      </c>
      <c r="C427" s="2" t="s">
        <v>294</v>
      </c>
      <c r="D427" s="2" t="s">
        <v>295</v>
      </c>
      <c r="E427" s="2" t="s">
        <v>383</v>
      </c>
      <c r="F427" s="2"/>
      <c r="G427" s="4">
        <v>2</v>
      </c>
      <c r="H427" s="3">
        <v>55.07</v>
      </c>
      <c r="I427" s="3">
        <v>-110.14</v>
      </c>
      <c r="J427" s="3"/>
    </row>
    <row r="428" spans="1:10" ht="15" customHeight="1" x14ac:dyDescent="0.25">
      <c r="A428" s="2" t="s">
        <v>76</v>
      </c>
      <c r="B428" s="2" t="s">
        <v>392</v>
      </c>
      <c r="C428" s="2" t="s">
        <v>294</v>
      </c>
      <c r="D428" s="2" t="s">
        <v>295</v>
      </c>
      <c r="E428" s="2" t="s">
        <v>383</v>
      </c>
      <c r="F428" s="2"/>
      <c r="G428" s="4">
        <v>1.625951301</v>
      </c>
      <c r="H428" s="3">
        <v>55.07</v>
      </c>
      <c r="I428" s="3">
        <v>-89.54</v>
      </c>
      <c r="J428" s="3">
        <v>0.32</v>
      </c>
    </row>
    <row r="429" spans="1:10" ht="15" customHeight="1" x14ac:dyDescent="0.25">
      <c r="A429" s="2" t="s">
        <v>76</v>
      </c>
      <c r="B429" s="2" t="s">
        <v>392</v>
      </c>
      <c r="C429" s="2" t="s">
        <v>294</v>
      </c>
      <c r="D429" s="2" t="s">
        <v>345</v>
      </c>
      <c r="E429" s="2" t="s">
        <v>383</v>
      </c>
      <c r="F429" s="2"/>
      <c r="G429" s="4">
        <v>-3</v>
      </c>
      <c r="H429" s="3">
        <v>54.03</v>
      </c>
      <c r="I429" s="3">
        <v>162.09</v>
      </c>
      <c r="J429" s="3"/>
    </row>
    <row r="430" spans="1:10" ht="15" customHeight="1" x14ac:dyDescent="0.25">
      <c r="A430" s="2" t="s">
        <v>76</v>
      </c>
      <c r="B430" s="2" t="s">
        <v>392</v>
      </c>
      <c r="C430" s="2" t="s">
        <v>294</v>
      </c>
      <c r="D430" s="2" t="s">
        <v>345</v>
      </c>
      <c r="E430" s="2" t="s">
        <v>383</v>
      </c>
      <c r="F430" s="2"/>
      <c r="G430" s="4">
        <v>-0.62595130099999996</v>
      </c>
      <c r="H430" s="3">
        <v>54.03</v>
      </c>
      <c r="I430" s="3">
        <v>33.82</v>
      </c>
      <c r="J430" s="3">
        <v>0.31</v>
      </c>
    </row>
    <row r="431" spans="1:10" ht="15" customHeight="1" x14ac:dyDescent="0.25">
      <c r="A431" s="2" t="s">
        <v>76</v>
      </c>
      <c r="B431" s="2" t="s">
        <v>392</v>
      </c>
      <c r="C431" s="2" t="s">
        <v>294</v>
      </c>
      <c r="D431" s="2" t="s">
        <v>295</v>
      </c>
      <c r="E431" s="2" t="s">
        <v>383</v>
      </c>
      <c r="F431" s="2"/>
      <c r="G431" s="4">
        <v>2</v>
      </c>
      <c r="H431" s="3">
        <v>52.37</v>
      </c>
      <c r="I431" s="3">
        <v>-104.75</v>
      </c>
      <c r="J431" s="3"/>
    </row>
    <row r="432" spans="1:10" ht="15" customHeight="1" x14ac:dyDescent="0.25">
      <c r="A432" s="2" t="s">
        <v>76</v>
      </c>
      <c r="B432" s="2" t="s">
        <v>392</v>
      </c>
      <c r="C432" s="2" t="s">
        <v>294</v>
      </c>
      <c r="D432" s="2" t="s">
        <v>295</v>
      </c>
      <c r="E432" s="2" t="s">
        <v>383</v>
      </c>
      <c r="F432" s="2"/>
      <c r="G432" s="4">
        <v>1.812547495</v>
      </c>
      <c r="H432" s="3">
        <v>52.37</v>
      </c>
      <c r="I432" s="3">
        <v>-94.93</v>
      </c>
      <c r="J432" s="3">
        <v>0.32</v>
      </c>
    </row>
    <row r="433" spans="1:10" ht="15" customHeight="1" x14ac:dyDescent="0.25">
      <c r="A433" s="2" t="s">
        <v>76</v>
      </c>
      <c r="B433" s="2" t="s">
        <v>392</v>
      </c>
      <c r="C433" s="2" t="s">
        <v>294</v>
      </c>
      <c r="D433" s="2" t="s">
        <v>345</v>
      </c>
      <c r="E433" s="2" t="s">
        <v>383</v>
      </c>
      <c r="F433" s="2"/>
      <c r="G433" s="4">
        <v>-3</v>
      </c>
      <c r="H433" s="3">
        <v>52.76</v>
      </c>
      <c r="I433" s="3">
        <v>158.27000000000001</v>
      </c>
      <c r="J433" s="3"/>
    </row>
    <row r="434" spans="1:10" ht="15" customHeight="1" x14ac:dyDescent="0.25">
      <c r="A434" s="2" t="s">
        <v>76</v>
      </c>
      <c r="B434" s="2" t="s">
        <v>392</v>
      </c>
      <c r="C434" s="2" t="s">
        <v>294</v>
      </c>
      <c r="D434" s="2" t="s">
        <v>345</v>
      </c>
      <c r="E434" s="2" t="s">
        <v>383</v>
      </c>
      <c r="F434" s="2"/>
      <c r="G434" s="4">
        <v>-0.81254749500000001</v>
      </c>
      <c r="H434" s="3">
        <v>52.76</v>
      </c>
      <c r="I434" s="3">
        <v>42.87</v>
      </c>
      <c r="J434" s="3">
        <v>0.32</v>
      </c>
    </row>
    <row r="435" spans="1:10" ht="15" customHeight="1" x14ac:dyDescent="0.25">
      <c r="A435" s="2" t="s">
        <v>76</v>
      </c>
      <c r="B435" s="2" t="s">
        <v>392</v>
      </c>
      <c r="C435" s="2" t="s">
        <v>294</v>
      </c>
      <c r="D435" s="2" t="s">
        <v>295</v>
      </c>
      <c r="E435" s="2" t="s">
        <v>393</v>
      </c>
      <c r="F435" s="2"/>
      <c r="G435" s="4">
        <v>8</v>
      </c>
      <c r="H435" s="3">
        <v>24.05</v>
      </c>
      <c r="I435" s="3">
        <v>-192.38</v>
      </c>
      <c r="J435" s="3">
        <v>0.31</v>
      </c>
    </row>
    <row r="436" spans="1:10" ht="15" customHeight="1" x14ac:dyDescent="0.25">
      <c r="A436" s="2" t="s">
        <v>76</v>
      </c>
      <c r="B436" s="2" t="s">
        <v>392</v>
      </c>
      <c r="C436" s="2" t="s">
        <v>294</v>
      </c>
      <c r="D436" s="2" t="s">
        <v>345</v>
      </c>
      <c r="E436" s="2" t="s">
        <v>393</v>
      </c>
      <c r="F436" s="2"/>
      <c r="G436" s="4">
        <v>-8</v>
      </c>
      <c r="H436" s="3">
        <v>24.98</v>
      </c>
      <c r="I436" s="3">
        <v>199.85</v>
      </c>
      <c r="J436" s="3">
        <v>0.32</v>
      </c>
    </row>
    <row r="437" spans="1:10" ht="15" customHeight="1" x14ac:dyDescent="0.25">
      <c r="A437" s="2" t="s">
        <v>76</v>
      </c>
      <c r="B437" s="2" t="s">
        <v>394</v>
      </c>
      <c r="C437" s="2" t="s">
        <v>294</v>
      </c>
      <c r="D437" s="2" t="s">
        <v>345</v>
      </c>
      <c r="E437" s="2" t="s">
        <v>198</v>
      </c>
      <c r="F437" s="2"/>
      <c r="G437" s="4">
        <v>-0.529425492</v>
      </c>
      <c r="H437" s="3">
        <v>99.33</v>
      </c>
      <c r="I437" s="3">
        <v>52.59</v>
      </c>
      <c r="J437" s="3">
        <v>0.08</v>
      </c>
    </row>
    <row r="438" spans="1:10" ht="15" customHeight="1" x14ac:dyDescent="0.25">
      <c r="A438" s="2" t="s">
        <v>76</v>
      </c>
      <c r="B438" s="2" t="s">
        <v>394</v>
      </c>
      <c r="C438" s="2" t="s">
        <v>294</v>
      </c>
      <c r="D438" s="2" t="s">
        <v>345</v>
      </c>
      <c r="E438" s="2" t="s">
        <v>200</v>
      </c>
      <c r="F438" s="2"/>
      <c r="G438" s="4">
        <v>-27</v>
      </c>
      <c r="H438" s="3">
        <v>2.15</v>
      </c>
      <c r="I438" s="3">
        <v>58.1</v>
      </c>
      <c r="J438" s="3"/>
    </row>
    <row r="439" spans="1:10" ht="15" customHeight="1" x14ac:dyDescent="0.25">
      <c r="A439" s="2" t="s">
        <v>76</v>
      </c>
      <c r="B439" s="2" t="s">
        <v>394</v>
      </c>
      <c r="C439" s="2" t="s">
        <v>294</v>
      </c>
      <c r="D439" s="2" t="s">
        <v>345</v>
      </c>
      <c r="E439" s="2" t="s">
        <v>200</v>
      </c>
      <c r="F439" s="2"/>
      <c r="G439" s="4">
        <v>-0.76768851400000004</v>
      </c>
      <c r="H439" s="3">
        <v>2.15</v>
      </c>
      <c r="I439" s="3">
        <v>1.65</v>
      </c>
      <c r="J439" s="3">
        <v>0.3</v>
      </c>
    </row>
    <row r="440" spans="1:10" ht="15" customHeight="1" x14ac:dyDescent="0.25">
      <c r="A440" s="2" t="s">
        <v>76</v>
      </c>
      <c r="B440" s="2" t="s">
        <v>394</v>
      </c>
      <c r="C440" s="2" t="s">
        <v>294</v>
      </c>
      <c r="D440" s="2" t="s">
        <v>345</v>
      </c>
      <c r="E440" s="2" t="s">
        <v>208</v>
      </c>
      <c r="F440" s="2"/>
      <c r="G440" s="4">
        <v>-8</v>
      </c>
      <c r="H440" s="3">
        <v>3.43</v>
      </c>
      <c r="I440" s="3">
        <v>27.47</v>
      </c>
      <c r="J440" s="3"/>
    </row>
    <row r="441" spans="1:10" ht="15" customHeight="1" x14ac:dyDescent="0.25">
      <c r="A441" s="2" t="s">
        <v>76</v>
      </c>
      <c r="B441" s="2" t="s">
        <v>394</v>
      </c>
      <c r="C441" s="2" t="s">
        <v>294</v>
      </c>
      <c r="D441" s="2" t="s">
        <v>345</v>
      </c>
      <c r="E441" s="2" t="s">
        <v>208</v>
      </c>
      <c r="F441" s="2"/>
      <c r="G441" s="4">
        <v>-0.77214446999999997</v>
      </c>
      <c r="H441" s="3">
        <v>3.43</v>
      </c>
      <c r="I441" s="3">
        <v>2.65</v>
      </c>
      <c r="J441" s="3">
        <v>0.09</v>
      </c>
    </row>
    <row r="442" spans="1:10" ht="15" customHeight="1" x14ac:dyDescent="0.25">
      <c r="A442" s="2" t="s">
        <v>76</v>
      </c>
      <c r="B442" s="2" t="s">
        <v>394</v>
      </c>
      <c r="C442" s="2" t="s">
        <v>294</v>
      </c>
      <c r="D442" s="2" t="s">
        <v>295</v>
      </c>
      <c r="E442" s="2" t="s">
        <v>393</v>
      </c>
      <c r="F442" s="2"/>
      <c r="G442" s="4">
        <v>2</v>
      </c>
      <c r="H442" s="3">
        <v>26.69</v>
      </c>
      <c r="I442" s="3">
        <v>-53.37</v>
      </c>
      <c r="J442" s="3">
        <v>0.3</v>
      </c>
    </row>
    <row r="443" spans="1:10" ht="15" customHeight="1" x14ac:dyDescent="0.25">
      <c r="A443" s="2" t="s">
        <v>76</v>
      </c>
      <c r="B443" s="2" t="s">
        <v>394</v>
      </c>
      <c r="C443" s="2" t="s">
        <v>294</v>
      </c>
      <c r="D443" s="2" t="s">
        <v>295</v>
      </c>
      <c r="E443" s="2" t="s">
        <v>393</v>
      </c>
      <c r="F443" s="2"/>
      <c r="G443" s="4">
        <v>5</v>
      </c>
      <c r="H443" s="3">
        <v>26.69</v>
      </c>
      <c r="I443" s="3">
        <v>-133.43</v>
      </c>
      <c r="J443" s="3"/>
    </row>
    <row r="444" spans="1:10" ht="15" customHeight="1" x14ac:dyDescent="0.25">
      <c r="A444" s="2" t="s">
        <v>76</v>
      </c>
      <c r="B444" s="2" t="s">
        <v>394</v>
      </c>
      <c r="C444" s="2" t="s">
        <v>294</v>
      </c>
      <c r="D444" s="2" t="s">
        <v>345</v>
      </c>
      <c r="E444" s="2" t="s">
        <v>393</v>
      </c>
      <c r="F444" s="2"/>
      <c r="G444" s="4">
        <v>-7</v>
      </c>
      <c r="H444" s="3">
        <v>27.19</v>
      </c>
      <c r="I444" s="3">
        <v>190.33</v>
      </c>
      <c r="J444" s="3">
        <v>0.3</v>
      </c>
    </row>
    <row r="445" spans="1:10" ht="15" customHeight="1" x14ac:dyDescent="0.25">
      <c r="A445" s="2" t="s">
        <v>76</v>
      </c>
      <c r="B445" s="2" t="s">
        <v>395</v>
      </c>
      <c r="C445" s="2" t="s">
        <v>294</v>
      </c>
      <c r="D445" s="2" t="s">
        <v>295</v>
      </c>
      <c r="E445" s="2" t="s">
        <v>383</v>
      </c>
      <c r="F445" s="2"/>
      <c r="G445" s="4">
        <v>3</v>
      </c>
      <c r="H445" s="3">
        <v>52.84</v>
      </c>
      <c r="I445" s="3">
        <v>-158.52000000000001</v>
      </c>
      <c r="J445" s="3"/>
    </row>
    <row r="446" spans="1:10" ht="15" customHeight="1" x14ac:dyDescent="0.25">
      <c r="A446" s="2" t="s">
        <v>76</v>
      </c>
      <c r="B446" s="2" t="s">
        <v>395</v>
      </c>
      <c r="C446" s="2" t="s">
        <v>294</v>
      </c>
      <c r="D446" s="2" t="s">
        <v>295</v>
      </c>
      <c r="E446" s="2" t="s">
        <v>383</v>
      </c>
      <c r="F446" s="2"/>
      <c r="G446" s="4">
        <v>1.72372353</v>
      </c>
      <c r="H446" s="3">
        <v>52.84</v>
      </c>
      <c r="I446" s="3">
        <v>-91.08</v>
      </c>
      <c r="J446" s="3">
        <v>0.4</v>
      </c>
    </row>
    <row r="447" spans="1:10" ht="15" customHeight="1" x14ac:dyDescent="0.25">
      <c r="A447" s="2" t="s">
        <v>76</v>
      </c>
      <c r="B447" s="2" t="s">
        <v>395</v>
      </c>
      <c r="C447" s="2" t="s">
        <v>294</v>
      </c>
      <c r="D447" s="2" t="s">
        <v>345</v>
      </c>
      <c r="E447" s="2" t="s">
        <v>383</v>
      </c>
      <c r="F447" s="2"/>
      <c r="G447" s="4">
        <v>-4</v>
      </c>
      <c r="H447" s="3">
        <v>52.67</v>
      </c>
      <c r="I447" s="3">
        <v>210.68</v>
      </c>
      <c r="J447" s="3"/>
    </row>
    <row r="448" spans="1:10" ht="15" customHeight="1" x14ac:dyDescent="0.25">
      <c r="A448" s="2" t="s">
        <v>76</v>
      </c>
      <c r="B448" s="2" t="s">
        <v>395</v>
      </c>
      <c r="C448" s="2" t="s">
        <v>294</v>
      </c>
      <c r="D448" s="2" t="s">
        <v>345</v>
      </c>
      <c r="E448" s="2" t="s">
        <v>383</v>
      </c>
      <c r="F448" s="2"/>
      <c r="G448" s="4">
        <v>-0.72372353</v>
      </c>
      <c r="H448" s="3">
        <v>52.67</v>
      </c>
      <c r="I448" s="3">
        <v>38.119999999999997</v>
      </c>
      <c r="J448" s="3">
        <v>0.4</v>
      </c>
    </row>
    <row r="449" spans="1:10" ht="15" customHeight="1" x14ac:dyDescent="0.25">
      <c r="A449" s="2" t="s">
        <v>76</v>
      </c>
      <c r="B449" s="2" t="s">
        <v>395</v>
      </c>
      <c r="C449" s="2" t="s">
        <v>294</v>
      </c>
      <c r="D449" s="2" t="s">
        <v>295</v>
      </c>
      <c r="E449" s="2" t="s">
        <v>383</v>
      </c>
      <c r="F449" s="2"/>
      <c r="G449" s="4">
        <v>4</v>
      </c>
      <c r="H449" s="3">
        <v>53.04</v>
      </c>
      <c r="I449" s="3">
        <v>-212.14</v>
      </c>
      <c r="J449" s="3"/>
    </row>
    <row r="450" spans="1:10" ht="15" customHeight="1" x14ac:dyDescent="0.25">
      <c r="A450" s="2" t="s">
        <v>76</v>
      </c>
      <c r="B450" s="2" t="s">
        <v>395</v>
      </c>
      <c r="C450" s="2" t="s">
        <v>294</v>
      </c>
      <c r="D450" s="2" t="s">
        <v>295</v>
      </c>
      <c r="E450" s="2" t="s">
        <v>383</v>
      </c>
      <c r="F450" s="2"/>
      <c r="G450" s="4">
        <v>1.6566262220000001</v>
      </c>
      <c r="H450" s="3">
        <v>53.04</v>
      </c>
      <c r="I450" s="3">
        <v>-87.86</v>
      </c>
      <c r="J450" s="3"/>
    </row>
    <row r="451" spans="1:10" ht="15" customHeight="1" x14ac:dyDescent="0.25">
      <c r="A451" s="2" t="s">
        <v>76</v>
      </c>
      <c r="B451" s="2" t="s">
        <v>395</v>
      </c>
      <c r="C451" s="2" t="s">
        <v>294</v>
      </c>
      <c r="D451" s="2" t="s">
        <v>345</v>
      </c>
      <c r="E451" s="2" t="s">
        <v>383</v>
      </c>
      <c r="F451" s="2"/>
      <c r="G451" s="4">
        <v>-5</v>
      </c>
      <c r="H451" s="3">
        <v>52.66</v>
      </c>
      <c r="I451" s="3">
        <v>263.3</v>
      </c>
      <c r="J451" s="3"/>
    </row>
    <row r="452" spans="1:10" ht="15" customHeight="1" x14ac:dyDescent="0.25">
      <c r="A452" s="2" t="s">
        <v>76</v>
      </c>
      <c r="B452" s="2" t="s">
        <v>395</v>
      </c>
      <c r="C452" s="2" t="s">
        <v>294</v>
      </c>
      <c r="D452" s="2" t="s">
        <v>345</v>
      </c>
      <c r="E452" s="2" t="s">
        <v>383</v>
      </c>
      <c r="F452" s="2"/>
      <c r="G452" s="4">
        <v>-0.65662622199999998</v>
      </c>
      <c r="H452" s="3">
        <v>52.66</v>
      </c>
      <c r="I452" s="3">
        <v>34.58</v>
      </c>
      <c r="J452" s="3">
        <v>0.48</v>
      </c>
    </row>
    <row r="453" spans="1:10" ht="15" customHeight="1" x14ac:dyDescent="0.25">
      <c r="A453" s="2" t="s">
        <v>76</v>
      </c>
      <c r="B453" s="2" t="s">
        <v>395</v>
      </c>
      <c r="C453" s="2" t="s">
        <v>294</v>
      </c>
      <c r="D453" s="2" t="s">
        <v>295</v>
      </c>
      <c r="E453" s="2" t="s">
        <v>140</v>
      </c>
      <c r="F453" s="2"/>
      <c r="G453" s="4">
        <v>2</v>
      </c>
      <c r="H453" s="3">
        <v>8.7799999999999994</v>
      </c>
      <c r="I453" s="3">
        <v>-17.55</v>
      </c>
      <c r="J453" s="3"/>
    </row>
    <row r="454" spans="1:10" ht="15" customHeight="1" x14ac:dyDescent="0.25">
      <c r="A454" s="2" t="s">
        <v>76</v>
      </c>
      <c r="B454" s="2" t="s">
        <v>395</v>
      </c>
      <c r="C454" s="2" t="s">
        <v>294</v>
      </c>
      <c r="D454" s="2" t="s">
        <v>295</v>
      </c>
      <c r="E454" s="2" t="s">
        <v>140</v>
      </c>
      <c r="F454" s="2"/>
      <c r="G454" s="4">
        <v>1.413105413</v>
      </c>
      <c r="H454" s="3">
        <v>8.7799999999999994</v>
      </c>
      <c r="I454" s="3">
        <v>-12.4</v>
      </c>
      <c r="J454" s="3">
        <v>0.05</v>
      </c>
    </row>
    <row r="455" spans="1:10" ht="15" customHeight="1" x14ac:dyDescent="0.25">
      <c r="A455" s="2" t="s">
        <v>76</v>
      </c>
      <c r="B455" s="2" t="s">
        <v>395</v>
      </c>
      <c r="C455" s="2" t="s">
        <v>294</v>
      </c>
      <c r="D455" s="2" t="s">
        <v>295</v>
      </c>
      <c r="E455" s="2" t="s">
        <v>158</v>
      </c>
      <c r="F455" s="2"/>
      <c r="G455" s="4">
        <v>1.866276171</v>
      </c>
      <c r="H455" s="3">
        <v>16.05</v>
      </c>
      <c r="I455" s="3">
        <v>-29.95</v>
      </c>
      <c r="J455" s="3">
        <v>0.05</v>
      </c>
    </row>
    <row r="456" spans="1:10" ht="15" customHeight="1" x14ac:dyDescent="0.25">
      <c r="A456" s="2" t="s">
        <v>76</v>
      </c>
      <c r="B456" s="2" t="s">
        <v>395</v>
      </c>
      <c r="C456" s="2" t="s">
        <v>294</v>
      </c>
      <c r="D456" s="2" t="s">
        <v>295</v>
      </c>
      <c r="E456" s="2" t="s">
        <v>204</v>
      </c>
      <c r="F456" s="2"/>
      <c r="G456" s="4">
        <v>9</v>
      </c>
      <c r="H456" s="3">
        <v>6.6</v>
      </c>
      <c r="I456" s="3">
        <v>-59.39</v>
      </c>
      <c r="J456" s="3">
        <v>0.09</v>
      </c>
    </row>
    <row r="457" spans="1:10" ht="15" customHeight="1" x14ac:dyDescent="0.25">
      <c r="A457" s="2" t="s">
        <v>76</v>
      </c>
      <c r="B457" s="2" t="s">
        <v>395</v>
      </c>
      <c r="C457" s="2" t="s">
        <v>294</v>
      </c>
      <c r="D457" s="2" t="s">
        <v>295</v>
      </c>
      <c r="E457" s="2" t="s">
        <v>170</v>
      </c>
      <c r="F457" s="2"/>
      <c r="G457" s="4">
        <v>1.262434665</v>
      </c>
      <c r="H457" s="3">
        <v>47.45</v>
      </c>
      <c r="I457" s="3">
        <v>-59.9</v>
      </c>
      <c r="J457" s="3">
        <v>0.1</v>
      </c>
    </row>
    <row r="458" spans="1:10" ht="15" customHeight="1" x14ac:dyDescent="0.25">
      <c r="A458" s="2" t="s">
        <v>76</v>
      </c>
      <c r="B458" s="2" t="s">
        <v>395</v>
      </c>
      <c r="C458" s="2" t="s">
        <v>294</v>
      </c>
      <c r="D458" s="2" t="s">
        <v>295</v>
      </c>
      <c r="E458" s="2" t="s">
        <v>134</v>
      </c>
      <c r="F458" s="2"/>
      <c r="G458" s="4">
        <v>1</v>
      </c>
      <c r="H458" s="3">
        <v>25.61</v>
      </c>
      <c r="I458" s="3">
        <v>-25.61</v>
      </c>
      <c r="J458" s="3"/>
    </row>
    <row r="459" spans="1:10" ht="15" customHeight="1" x14ac:dyDescent="0.25">
      <c r="A459" s="2" t="s">
        <v>76</v>
      </c>
      <c r="B459" s="2" t="s">
        <v>395</v>
      </c>
      <c r="C459" s="2" t="s">
        <v>294</v>
      </c>
      <c r="D459" s="2" t="s">
        <v>295</v>
      </c>
      <c r="E459" s="2" t="s">
        <v>134</v>
      </c>
      <c r="F459" s="2"/>
      <c r="G459" s="4">
        <v>1.3391915640000001</v>
      </c>
      <c r="H459" s="3">
        <v>25.61</v>
      </c>
      <c r="I459" s="3">
        <v>-34.29</v>
      </c>
      <c r="J459" s="3">
        <v>0.1</v>
      </c>
    </row>
    <row r="460" spans="1:10" ht="15" customHeight="1" x14ac:dyDescent="0.25">
      <c r="A460" s="2" t="s">
        <v>76</v>
      </c>
      <c r="B460" s="2" t="s">
        <v>395</v>
      </c>
      <c r="C460" s="2" t="s">
        <v>294</v>
      </c>
      <c r="D460" s="2" t="s">
        <v>295</v>
      </c>
      <c r="E460" s="2" t="s">
        <v>179</v>
      </c>
      <c r="F460" s="2"/>
      <c r="G460" s="4">
        <v>1</v>
      </c>
      <c r="H460" s="3">
        <v>27.22</v>
      </c>
      <c r="I460" s="3">
        <v>-27.22</v>
      </c>
      <c r="J460" s="3">
        <v>0.04</v>
      </c>
    </row>
    <row r="461" spans="1:10" ht="15" customHeight="1" x14ac:dyDescent="0.25">
      <c r="A461" s="2" t="s">
        <v>76</v>
      </c>
      <c r="B461" s="2" t="s">
        <v>395</v>
      </c>
      <c r="C461" s="2" t="s">
        <v>294</v>
      </c>
      <c r="D461" s="2" t="s">
        <v>295</v>
      </c>
      <c r="E461" s="2" t="s">
        <v>145</v>
      </c>
      <c r="F461" s="2"/>
      <c r="G461" s="4">
        <v>1.711624185</v>
      </c>
      <c r="H461" s="3">
        <v>17.5</v>
      </c>
      <c r="I461" s="3">
        <v>-29.95</v>
      </c>
      <c r="J461" s="3">
        <v>0.05</v>
      </c>
    </row>
    <row r="462" spans="1:10" ht="15" customHeight="1" x14ac:dyDescent="0.25">
      <c r="A462" s="2" t="s">
        <v>76</v>
      </c>
      <c r="B462" s="2" t="s">
        <v>395</v>
      </c>
      <c r="C462" s="2" t="s">
        <v>294</v>
      </c>
      <c r="D462" s="2" t="s">
        <v>345</v>
      </c>
      <c r="E462" s="2" t="s">
        <v>147</v>
      </c>
      <c r="F462" s="2"/>
      <c r="G462" s="4">
        <v>-1</v>
      </c>
      <c r="H462" s="3">
        <v>50.14</v>
      </c>
      <c r="I462" s="3">
        <v>50.14</v>
      </c>
      <c r="J462" s="3"/>
    </row>
    <row r="463" spans="1:10" ht="15" customHeight="1" x14ac:dyDescent="0.25">
      <c r="A463" s="2" t="s">
        <v>76</v>
      </c>
      <c r="B463" s="2" t="s">
        <v>395</v>
      </c>
      <c r="C463" s="2" t="s">
        <v>294</v>
      </c>
      <c r="D463" s="2" t="s">
        <v>345</v>
      </c>
      <c r="E463" s="2" t="s">
        <v>147</v>
      </c>
      <c r="F463" s="2"/>
      <c r="G463" s="4">
        <v>-0.32293566499999998</v>
      </c>
      <c r="H463" s="3">
        <v>50.14</v>
      </c>
      <c r="I463" s="3">
        <v>16.190000000000001</v>
      </c>
      <c r="J463" s="3">
        <v>0.11</v>
      </c>
    </row>
    <row r="464" spans="1:10" ht="15" customHeight="1" x14ac:dyDescent="0.25">
      <c r="A464" s="2" t="s">
        <v>76</v>
      </c>
      <c r="B464" s="2" t="s">
        <v>395</v>
      </c>
      <c r="C464" s="2" t="s">
        <v>294</v>
      </c>
      <c r="D464" s="2" t="s">
        <v>295</v>
      </c>
      <c r="E464" s="2" t="s">
        <v>154</v>
      </c>
      <c r="F464" s="2"/>
      <c r="G464" s="4">
        <v>1.0438085939999999</v>
      </c>
      <c r="H464" s="3">
        <v>57.39</v>
      </c>
      <c r="I464" s="3">
        <v>-59.9</v>
      </c>
      <c r="J464" s="3">
        <v>0.1</v>
      </c>
    </row>
    <row r="465" spans="1:10" ht="15" customHeight="1" x14ac:dyDescent="0.25">
      <c r="A465" s="2" t="s">
        <v>76</v>
      </c>
      <c r="B465" s="2" t="s">
        <v>395</v>
      </c>
      <c r="C465" s="2" t="s">
        <v>294</v>
      </c>
      <c r="D465" s="2" t="s">
        <v>295</v>
      </c>
      <c r="E465" s="2" t="s">
        <v>187</v>
      </c>
      <c r="F465" s="2"/>
      <c r="G465" s="4">
        <v>1</v>
      </c>
      <c r="H465" s="3">
        <v>36.78</v>
      </c>
      <c r="I465" s="3">
        <v>-36.78</v>
      </c>
      <c r="J465" s="3">
        <v>0.06</v>
      </c>
    </row>
    <row r="466" spans="1:10" ht="15" customHeight="1" x14ac:dyDescent="0.25">
      <c r="A466" s="2" t="s">
        <v>76</v>
      </c>
      <c r="B466" s="2" t="s">
        <v>395</v>
      </c>
      <c r="C466" s="2" t="s">
        <v>294</v>
      </c>
      <c r="D466" s="2" t="s">
        <v>295</v>
      </c>
      <c r="E466" s="2" t="s">
        <v>213</v>
      </c>
      <c r="F466" s="2"/>
      <c r="G466" s="4">
        <v>1.106063963</v>
      </c>
      <c r="H466" s="3">
        <v>27.08</v>
      </c>
      <c r="I466" s="3">
        <v>-29.95</v>
      </c>
      <c r="J466" s="3">
        <v>0.05</v>
      </c>
    </row>
    <row r="467" spans="1:10" ht="15" customHeight="1" x14ac:dyDescent="0.25">
      <c r="A467" s="2" t="s">
        <v>76</v>
      </c>
      <c r="B467" s="2" t="s">
        <v>395</v>
      </c>
      <c r="C467" s="2" t="s">
        <v>294</v>
      </c>
      <c r="D467" s="2" t="s">
        <v>295</v>
      </c>
      <c r="E467" s="2" t="s">
        <v>196</v>
      </c>
      <c r="F467" s="2"/>
      <c r="G467" s="4">
        <v>1.277294438</v>
      </c>
      <c r="H467" s="3">
        <v>23.45</v>
      </c>
      <c r="I467" s="3">
        <v>-29.95</v>
      </c>
      <c r="J467" s="3">
        <v>0.05</v>
      </c>
    </row>
    <row r="468" spans="1:10" ht="15" customHeight="1" x14ac:dyDescent="0.25">
      <c r="A468" s="2" t="s">
        <v>76</v>
      </c>
      <c r="B468" s="2" t="s">
        <v>395</v>
      </c>
      <c r="C468" s="2" t="s">
        <v>294</v>
      </c>
      <c r="D468" s="2" t="s">
        <v>295</v>
      </c>
      <c r="E468" s="2" t="s">
        <v>393</v>
      </c>
      <c r="F468" s="2"/>
      <c r="G468" s="4">
        <v>10</v>
      </c>
      <c r="H468" s="3">
        <v>26.55</v>
      </c>
      <c r="I468" s="3">
        <v>-265.5</v>
      </c>
      <c r="J468" s="3">
        <v>0.42</v>
      </c>
    </row>
    <row r="469" spans="1:10" ht="15" customHeight="1" x14ac:dyDescent="0.25">
      <c r="A469" s="2" t="s">
        <v>76</v>
      </c>
      <c r="B469" s="2" t="s">
        <v>395</v>
      </c>
      <c r="C469" s="2" t="s">
        <v>294</v>
      </c>
      <c r="D469" s="2" t="s">
        <v>345</v>
      </c>
      <c r="E469" s="2" t="s">
        <v>393</v>
      </c>
      <c r="F469" s="2"/>
      <c r="G469" s="4">
        <v>-10</v>
      </c>
      <c r="H469" s="3">
        <v>27.18</v>
      </c>
      <c r="I469" s="3">
        <v>271.82</v>
      </c>
      <c r="J469" s="3">
        <v>0.43</v>
      </c>
    </row>
    <row r="470" spans="1:10" ht="15" customHeight="1" x14ac:dyDescent="0.25">
      <c r="A470" s="2" t="s">
        <v>76</v>
      </c>
      <c r="B470" s="2" t="s">
        <v>395</v>
      </c>
      <c r="C470" s="2" t="s">
        <v>294</v>
      </c>
      <c r="D470" s="2" t="s">
        <v>295</v>
      </c>
      <c r="E470" s="2" t="s">
        <v>190</v>
      </c>
      <c r="F470" s="2"/>
      <c r="G470" s="4">
        <v>1</v>
      </c>
      <c r="H470" s="3">
        <v>26.68</v>
      </c>
      <c r="I470" s="3">
        <v>-26.68</v>
      </c>
      <c r="J470" s="3">
        <v>0.04</v>
      </c>
    </row>
    <row r="471" spans="1:10" ht="15" customHeight="1" x14ac:dyDescent="0.25">
      <c r="A471" s="2" t="s">
        <v>76</v>
      </c>
      <c r="B471" s="2" t="s">
        <v>395</v>
      </c>
      <c r="C471" s="2" t="s">
        <v>294</v>
      </c>
      <c r="D471" s="2" t="s">
        <v>295</v>
      </c>
      <c r="E471" s="2" t="s">
        <v>136</v>
      </c>
      <c r="F471" s="2"/>
      <c r="G471" s="4">
        <v>1</v>
      </c>
      <c r="H471" s="3">
        <v>25.09</v>
      </c>
      <c r="I471" s="3">
        <v>-25.09</v>
      </c>
      <c r="J471" s="3"/>
    </row>
    <row r="472" spans="1:10" ht="15" customHeight="1" x14ac:dyDescent="0.25">
      <c r="A472" s="2" t="s">
        <v>76</v>
      </c>
      <c r="B472" s="2" t="s">
        <v>395</v>
      </c>
      <c r="C472" s="2" t="s">
        <v>294</v>
      </c>
      <c r="D472" s="2" t="s">
        <v>295</v>
      </c>
      <c r="E472" s="2" t="s">
        <v>136</v>
      </c>
      <c r="F472" s="2"/>
      <c r="G472" s="4">
        <v>1.3875933760000001</v>
      </c>
      <c r="H472" s="3">
        <v>25.09</v>
      </c>
      <c r="I472" s="3">
        <v>-34.81</v>
      </c>
      <c r="J472" s="3">
        <v>0.1</v>
      </c>
    </row>
    <row r="473" spans="1:10" ht="15" customHeight="1" x14ac:dyDescent="0.25">
      <c r="A473" s="2" t="s">
        <v>76</v>
      </c>
      <c r="B473" s="2" t="s">
        <v>396</v>
      </c>
      <c r="C473" s="2" t="s">
        <v>294</v>
      </c>
      <c r="D473" s="2" t="s">
        <v>295</v>
      </c>
      <c r="E473" s="2" t="s">
        <v>393</v>
      </c>
      <c r="F473" s="2"/>
      <c r="G473" s="4">
        <v>7</v>
      </c>
      <c r="H473" s="3">
        <v>27.2</v>
      </c>
      <c r="I473" s="3">
        <v>-190.4</v>
      </c>
      <c r="J473" s="3">
        <v>0.31</v>
      </c>
    </row>
    <row r="474" spans="1:10" ht="15" customHeight="1" x14ac:dyDescent="0.25">
      <c r="A474" s="2" t="s">
        <v>76</v>
      </c>
      <c r="B474" s="2" t="s">
        <v>396</v>
      </c>
      <c r="C474" s="2" t="s">
        <v>294</v>
      </c>
      <c r="D474" s="2" t="s">
        <v>345</v>
      </c>
      <c r="E474" s="2" t="s">
        <v>393</v>
      </c>
      <c r="F474" s="2"/>
      <c r="G474" s="4">
        <v>-7</v>
      </c>
      <c r="H474" s="3">
        <v>27.89</v>
      </c>
      <c r="I474" s="3">
        <v>195.24</v>
      </c>
      <c r="J474" s="3">
        <v>0.31</v>
      </c>
    </row>
    <row r="475" spans="1:10" ht="15" customHeight="1" x14ac:dyDescent="0.25">
      <c r="A475" s="2" t="s">
        <v>78</v>
      </c>
      <c r="B475" s="2" t="s">
        <v>397</v>
      </c>
      <c r="C475" s="2" t="s">
        <v>294</v>
      </c>
      <c r="D475" s="2" t="s">
        <v>295</v>
      </c>
      <c r="E475" s="2" t="s">
        <v>383</v>
      </c>
      <c r="F475" s="2"/>
      <c r="G475" s="4">
        <v>4</v>
      </c>
      <c r="H475" s="3">
        <v>36.270000000000003</v>
      </c>
      <c r="I475" s="3">
        <v>-145.08000000000001</v>
      </c>
      <c r="J475" s="3"/>
    </row>
    <row r="476" spans="1:10" ht="15" customHeight="1" x14ac:dyDescent="0.25">
      <c r="A476" s="2" t="s">
        <v>78</v>
      </c>
      <c r="B476" s="2" t="s">
        <v>397</v>
      </c>
      <c r="C476" s="2" t="s">
        <v>294</v>
      </c>
      <c r="D476" s="2" t="s">
        <v>295</v>
      </c>
      <c r="E476" s="2" t="s">
        <v>383</v>
      </c>
      <c r="F476" s="2"/>
      <c r="G476" s="4">
        <v>1.514232461</v>
      </c>
      <c r="H476" s="3">
        <v>36.270000000000003</v>
      </c>
      <c r="I476" s="3">
        <v>-54.92</v>
      </c>
      <c r="J476" s="3"/>
    </row>
    <row r="477" spans="1:10" ht="15" customHeight="1" x14ac:dyDescent="0.25">
      <c r="A477" s="2" t="s">
        <v>78</v>
      </c>
      <c r="B477" s="2" t="s">
        <v>397</v>
      </c>
      <c r="C477" s="2" t="s">
        <v>294</v>
      </c>
      <c r="D477" s="2" t="s">
        <v>345</v>
      </c>
      <c r="E477" s="2" t="s">
        <v>383</v>
      </c>
      <c r="F477" s="2"/>
      <c r="G477" s="4">
        <v>-5</v>
      </c>
      <c r="H477" s="3">
        <v>35.19</v>
      </c>
      <c r="I477" s="3">
        <v>175.93</v>
      </c>
      <c r="J477" s="3"/>
    </row>
    <row r="478" spans="1:10" ht="15" customHeight="1" x14ac:dyDescent="0.25">
      <c r="A478" s="2" t="s">
        <v>78</v>
      </c>
      <c r="B478" s="2" t="s">
        <v>397</v>
      </c>
      <c r="C478" s="2" t="s">
        <v>294</v>
      </c>
      <c r="D478" s="2" t="s">
        <v>345</v>
      </c>
      <c r="E478" s="2" t="s">
        <v>383</v>
      </c>
      <c r="F478" s="2"/>
      <c r="G478" s="4">
        <v>-0.51423246099999997</v>
      </c>
      <c r="H478" s="3">
        <v>35.19</v>
      </c>
      <c r="I478" s="3">
        <v>18.09</v>
      </c>
      <c r="J478" s="3"/>
    </row>
    <row r="479" spans="1:10" ht="15" customHeight="1" x14ac:dyDescent="0.25">
      <c r="A479" s="2" t="s">
        <v>78</v>
      </c>
      <c r="B479" s="2" t="s">
        <v>397</v>
      </c>
      <c r="C479" s="2" t="s">
        <v>294</v>
      </c>
      <c r="D479" s="2" t="s">
        <v>295</v>
      </c>
      <c r="E479" s="2" t="s">
        <v>383</v>
      </c>
      <c r="F479" s="2"/>
      <c r="G479" s="4">
        <v>4</v>
      </c>
      <c r="H479" s="3">
        <v>36.86</v>
      </c>
      <c r="I479" s="3">
        <v>-147.44</v>
      </c>
      <c r="J479" s="3"/>
    </row>
    <row r="480" spans="1:10" ht="15" customHeight="1" x14ac:dyDescent="0.25">
      <c r="A480" s="2" t="s">
        <v>78</v>
      </c>
      <c r="B480" s="2" t="s">
        <v>397</v>
      </c>
      <c r="C480" s="2" t="s">
        <v>294</v>
      </c>
      <c r="D480" s="2" t="s">
        <v>295</v>
      </c>
      <c r="E480" s="2" t="s">
        <v>383</v>
      </c>
      <c r="F480" s="2"/>
      <c r="G480" s="4">
        <v>1.1464909400000001</v>
      </c>
      <c r="H480" s="3">
        <v>36.86</v>
      </c>
      <c r="I480" s="3">
        <v>-42.26</v>
      </c>
      <c r="J480" s="3">
        <v>0.3</v>
      </c>
    </row>
    <row r="481" spans="1:10" ht="15" customHeight="1" x14ac:dyDescent="0.25">
      <c r="A481" s="2" t="s">
        <v>78</v>
      </c>
      <c r="B481" s="2" t="s">
        <v>397</v>
      </c>
      <c r="C481" s="2" t="s">
        <v>294</v>
      </c>
      <c r="D481" s="2" t="s">
        <v>345</v>
      </c>
      <c r="E481" s="2" t="s">
        <v>383</v>
      </c>
      <c r="F481" s="2"/>
      <c r="G481" s="4">
        <v>-5</v>
      </c>
      <c r="H481" s="3">
        <v>36.08</v>
      </c>
      <c r="I481" s="3">
        <v>180.41</v>
      </c>
      <c r="J481" s="3"/>
    </row>
    <row r="482" spans="1:10" ht="15" customHeight="1" x14ac:dyDescent="0.25">
      <c r="A482" s="2" t="s">
        <v>78</v>
      </c>
      <c r="B482" s="2" t="s">
        <v>397</v>
      </c>
      <c r="C482" s="2" t="s">
        <v>294</v>
      </c>
      <c r="D482" s="2" t="s">
        <v>345</v>
      </c>
      <c r="E482" s="2" t="s">
        <v>383</v>
      </c>
      <c r="F482" s="2"/>
      <c r="G482" s="4">
        <v>-0.14649093999999999</v>
      </c>
      <c r="H482" s="3">
        <v>36.08</v>
      </c>
      <c r="I482" s="3">
        <v>5.29</v>
      </c>
      <c r="J482" s="3">
        <v>0.3</v>
      </c>
    </row>
    <row r="483" spans="1:10" ht="15" customHeight="1" x14ac:dyDescent="0.25">
      <c r="A483" s="2" t="s">
        <v>78</v>
      </c>
      <c r="B483" s="2" t="s">
        <v>397</v>
      </c>
      <c r="C483" s="2" t="s">
        <v>294</v>
      </c>
      <c r="D483" s="2" t="s">
        <v>295</v>
      </c>
      <c r="E483" s="2" t="s">
        <v>393</v>
      </c>
      <c r="F483" s="2"/>
      <c r="G483" s="4">
        <v>9</v>
      </c>
      <c r="H483" s="3">
        <v>22.29</v>
      </c>
      <c r="I483" s="3">
        <v>-200.61</v>
      </c>
      <c r="J483" s="3"/>
    </row>
    <row r="484" spans="1:10" ht="15" customHeight="1" x14ac:dyDescent="0.25">
      <c r="A484" s="2" t="s">
        <v>78</v>
      </c>
      <c r="B484" s="2" t="s">
        <v>397</v>
      </c>
      <c r="C484" s="2" t="s">
        <v>294</v>
      </c>
      <c r="D484" s="2" t="s">
        <v>345</v>
      </c>
      <c r="E484" s="2" t="s">
        <v>393</v>
      </c>
      <c r="F484" s="2"/>
      <c r="G484" s="4">
        <v>-9</v>
      </c>
      <c r="H484" s="3">
        <v>22.51</v>
      </c>
      <c r="I484" s="3">
        <v>202.6</v>
      </c>
      <c r="J484" s="3">
        <v>0.32</v>
      </c>
    </row>
    <row r="485" spans="1:10" ht="15" customHeight="1" x14ac:dyDescent="0.25">
      <c r="A485" s="2" t="s">
        <v>78</v>
      </c>
      <c r="B485" s="2" t="s">
        <v>398</v>
      </c>
      <c r="C485" s="2" t="s">
        <v>294</v>
      </c>
      <c r="D485" s="2" t="s">
        <v>295</v>
      </c>
      <c r="E485" s="2" t="s">
        <v>383</v>
      </c>
      <c r="F485" s="2"/>
      <c r="G485" s="4">
        <v>4</v>
      </c>
      <c r="H485" s="3">
        <v>34.6</v>
      </c>
      <c r="I485" s="3">
        <v>-138.38999999999999</v>
      </c>
      <c r="J485" s="3"/>
    </row>
    <row r="486" spans="1:10" ht="15" customHeight="1" x14ac:dyDescent="0.25">
      <c r="A486" s="2" t="s">
        <v>78</v>
      </c>
      <c r="B486" s="2" t="s">
        <v>398</v>
      </c>
      <c r="C486" s="2" t="s">
        <v>294</v>
      </c>
      <c r="D486" s="2" t="s">
        <v>295</v>
      </c>
      <c r="E486" s="2" t="s">
        <v>383</v>
      </c>
      <c r="F486" s="2"/>
      <c r="G486" s="4">
        <v>1.7715613670000001</v>
      </c>
      <c r="H486" s="3">
        <v>34.6</v>
      </c>
      <c r="I486" s="3">
        <v>-61.29</v>
      </c>
      <c r="J486" s="3">
        <v>0.32</v>
      </c>
    </row>
    <row r="487" spans="1:10" ht="15" customHeight="1" x14ac:dyDescent="0.25">
      <c r="A487" s="2" t="s">
        <v>78</v>
      </c>
      <c r="B487" s="2" t="s">
        <v>398</v>
      </c>
      <c r="C487" s="2" t="s">
        <v>294</v>
      </c>
      <c r="D487" s="2" t="s">
        <v>345</v>
      </c>
      <c r="E487" s="2" t="s">
        <v>383</v>
      </c>
      <c r="F487" s="2"/>
      <c r="G487" s="4">
        <v>-5</v>
      </c>
      <c r="H487" s="3">
        <v>35.51</v>
      </c>
      <c r="I487" s="3">
        <v>177.57</v>
      </c>
      <c r="J487" s="3"/>
    </row>
    <row r="488" spans="1:10" ht="15" customHeight="1" x14ac:dyDescent="0.25">
      <c r="A488" s="2" t="s">
        <v>78</v>
      </c>
      <c r="B488" s="2" t="s">
        <v>398</v>
      </c>
      <c r="C488" s="2" t="s">
        <v>294</v>
      </c>
      <c r="D488" s="2" t="s">
        <v>345</v>
      </c>
      <c r="E488" s="2" t="s">
        <v>383</v>
      </c>
      <c r="F488" s="2"/>
      <c r="G488" s="4">
        <v>-0.771561367</v>
      </c>
      <c r="H488" s="3">
        <v>35.51</v>
      </c>
      <c r="I488" s="3">
        <v>27.4</v>
      </c>
      <c r="J488" s="3">
        <v>0.32</v>
      </c>
    </row>
    <row r="489" spans="1:10" ht="15" customHeight="1" x14ac:dyDescent="0.25">
      <c r="A489" s="2" t="s">
        <v>78</v>
      </c>
      <c r="B489" s="2" t="s">
        <v>398</v>
      </c>
      <c r="C489" s="2" t="s">
        <v>294</v>
      </c>
      <c r="D489" s="2" t="s">
        <v>295</v>
      </c>
      <c r="E489" s="2" t="s">
        <v>393</v>
      </c>
      <c r="F489" s="2"/>
      <c r="G489" s="4">
        <v>8</v>
      </c>
      <c r="H489" s="3">
        <v>24.38</v>
      </c>
      <c r="I489" s="3">
        <v>-195.03</v>
      </c>
      <c r="J489" s="3">
        <v>0.32</v>
      </c>
    </row>
    <row r="490" spans="1:10" ht="15" customHeight="1" x14ac:dyDescent="0.25">
      <c r="A490" s="2" t="s">
        <v>78</v>
      </c>
      <c r="B490" s="2" t="s">
        <v>398</v>
      </c>
      <c r="C490" s="2" t="s">
        <v>294</v>
      </c>
      <c r="D490" s="2" t="s">
        <v>345</v>
      </c>
      <c r="E490" s="2" t="s">
        <v>393</v>
      </c>
      <c r="F490" s="2"/>
      <c r="G490" s="4">
        <v>-8</v>
      </c>
      <c r="H490" s="3">
        <v>24.83</v>
      </c>
      <c r="I490" s="3">
        <v>198.67</v>
      </c>
      <c r="J490" s="3">
        <v>0.32</v>
      </c>
    </row>
    <row r="491" spans="1:10" ht="15" customHeight="1" x14ac:dyDescent="0.25">
      <c r="A491" s="2" t="s">
        <v>78</v>
      </c>
      <c r="B491" s="2" t="s">
        <v>399</v>
      </c>
      <c r="C491" s="2" t="s">
        <v>294</v>
      </c>
      <c r="D491" s="2" t="s">
        <v>295</v>
      </c>
      <c r="E491" s="2" t="s">
        <v>383</v>
      </c>
      <c r="F491" s="2"/>
      <c r="G491" s="4">
        <v>4</v>
      </c>
      <c r="H491" s="3">
        <v>33.5</v>
      </c>
      <c r="I491" s="3">
        <v>-134.01</v>
      </c>
      <c r="J491" s="3"/>
    </row>
    <row r="492" spans="1:10" ht="15" customHeight="1" x14ac:dyDescent="0.25">
      <c r="A492" s="2" t="s">
        <v>78</v>
      </c>
      <c r="B492" s="2" t="s">
        <v>399</v>
      </c>
      <c r="C492" s="2" t="s">
        <v>294</v>
      </c>
      <c r="D492" s="2" t="s">
        <v>295</v>
      </c>
      <c r="E492" s="2" t="s">
        <v>383</v>
      </c>
      <c r="F492" s="2"/>
      <c r="G492" s="4">
        <v>1.9601171230000001</v>
      </c>
      <c r="H492" s="3">
        <v>33.5</v>
      </c>
      <c r="I492" s="3">
        <v>-65.67</v>
      </c>
      <c r="J492" s="3">
        <v>0.32</v>
      </c>
    </row>
    <row r="493" spans="1:10" ht="15" customHeight="1" x14ac:dyDescent="0.25">
      <c r="A493" s="2" t="s">
        <v>78</v>
      </c>
      <c r="B493" s="2" t="s">
        <v>399</v>
      </c>
      <c r="C493" s="2" t="s">
        <v>294</v>
      </c>
      <c r="D493" s="2" t="s">
        <v>345</v>
      </c>
      <c r="E493" s="2" t="s">
        <v>383</v>
      </c>
      <c r="F493" s="2"/>
      <c r="G493" s="4">
        <v>-5</v>
      </c>
      <c r="H493" s="3">
        <v>33.97</v>
      </c>
      <c r="I493" s="3">
        <v>169.85</v>
      </c>
      <c r="J493" s="3"/>
    </row>
    <row r="494" spans="1:10" ht="15" customHeight="1" x14ac:dyDescent="0.25">
      <c r="A494" s="2" t="s">
        <v>78</v>
      </c>
      <c r="B494" s="2" t="s">
        <v>399</v>
      </c>
      <c r="C494" s="2" t="s">
        <v>294</v>
      </c>
      <c r="D494" s="2" t="s">
        <v>345</v>
      </c>
      <c r="E494" s="2" t="s">
        <v>383</v>
      </c>
      <c r="F494" s="2"/>
      <c r="G494" s="4">
        <v>-0.96011712299999996</v>
      </c>
      <c r="H494" s="3">
        <v>33.97</v>
      </c>
      <c r="I494" s="3">
        <v>32.61</v>
      </c>
      <c r="J494" s="3">
        <v>0.32</v>
      </c>
    </row>
    <row r="495" spans="1:10" ht="15" customHeight="1" x14ac:dyDescent="0.25">
      <c r="A495" s="2" t="s">
        <v>78</v>
      </c>
      <c r="B495" s="2" t="s">
        <v>400</v>
      </c>
      <c r="C495" s="2" t="s">
        <v>294</v>
      </c>
      <c r="D495" s="2" t="s">
        <v>295</v>
      </c>
      <c r="E495" s="2" t="s">
        <v>383</v>
      </c>
      <c r="F495" s="2"/>
      <c r="G495" s="4">
        <v>5</v>
      </c>
      <c r="H495" s="3">
        <v>30.99</v>
      </c>
      <c r="I495" s="3">
        <v>-154.97</v>
      </c>
      <c r="J495" s="3"/>
    </row>
    <row r="496" spans="1:10" ht="15" customHeight="1" x14ac:dyDescent="0.25">
      <c r="A496" s="2" t="s">
        <v>78</v>
      </c>
      <c r="B496" s="2" t="s">
        <v>400</v>
      </c>
      <c r="C496" s="2" t="s">
        <v>294</v>
      </c>
      <c r="D496" s="2" t="s">
        <v>295</v>
      </c>
      <c r="E496" s="2" t="s">
        <v>383</v>
      </c>
      <c r="F496" s="2"/>
      <c r="G496" s="4">
        <v>1.4425791539999999</v>
      </c>
      <c r="H496" s="3">
        <v>30.99</v>
      </c>
      <c r="I496" s="3">
        <v>-44.71</v>
      </c>
      <c r="J496" s="3">
        <v>0.32</v>
      </c>
    </row>
    <row r="497" spans="1:10" ht="15" customHeight="1" x14ac:dyDescent="0.25">
      <c r="A497" s="2" t="s">
        <v>78</v>
      </c>
      <c r="B497" s="2" t="s">
        <v>400</v>
      </c>
      <c r="C497" s="2" t="s">
        <v>294</v>
      </c>
      <c r="D497" s="2" t="s">
        <v>345</v>
      </c>
      <c r="E497" s="2" t="s">
        <v>383</v>
      </c>
      <c r="F497" s="2"/>
      <c r="G497" s="4">
        <v>-6</v>
      </c>
      <c r="H497" s="3">
        <v>30.52</v>
      </c>
      <c r="I497" s="3">
        <v>183.15</v>
      </c>
      <c r="J497" s="3"/>
    </row>
    <row r="498" spans="1:10" ht="15" customHeight="1" x14ac:dyDescent="0.25">
      <c r="A498" s="2" t="s">
        <v>78</v>
      </c>
      <c r="B498" s="2" t="s">
        <v>400</v>
      </c>
      <c r="C498" s="2" t="s">
        <v>294</v>
      </c>
      <c r="D498" s="2" t="s">
        <v>345</v>
      </c>
      <c r="E498" s="2" t="s">
        <v>383</v>
      </c>
      <c r="F498" s="2"/>
      <c r="G498" s="4">
        <v>-0.44257915399999997</v>
      </c>
      <c r="H498" s="3">
        <v>30.52</v>
      </c>
      <c r="I498" s="3">
        <v>13.51</v>
      </c>
      <c r="J498" s="3">
        <v>0.32</v>
      </c>
    </row>
    <row r="499" spans="1:10" ht="15" customHeight="1" x14ac:dyDescent="0.25">
      <c r="A499" s="2" t="s">
        <v>78</v>
      </c>
      <c r="B499" s="2" t="s">
        <v>400</v>
      </c>
      <c r="C499" s="2" t="s">
        <v>294</v>
      </c>
      <c r="D499" s="2" t="s">
        <v>295</v>
      </c>
      <c r="E499" s="2" t="s">
        <v>393</v>
      </c>
      <c r="F499" s="2"/>
      <c r="G499" s="4">
        <v>13</v>
      </c>
      <c r="H499" s="3">
        <v>15.54</v>
      </c>
      <c r="I499" s="3">
        <v>-202.02</v>
      </c>
      <c r="J499" s="3">
        <v>0.32</v>
      </c>
    </row>
    <row r="500" spans="1:10" ht="15" customHeight="1" x14ac:dyDescent="0.25">
      <c r="A500" s="2" t="s">
        <v>78</v>
      </c>
      <c r="B500" s="2" t="s">
        <v>400</v>
      </c>
      <c r="C500" s="2" t="s">
        <v>294</v>
      </c>
      <c r="D500" s="2" t="s">
        <v>345</v>
      </c>
      <c r="E500" s="2" t="s">
        <v>393</v>
      </c>
      <c r="F500" s="2"/>
      <c r="G500" s="4">
        <v>-13</v>
      </c>
      <c r="H500" s="3">
        <v>14.8</v>
      </c>
      <c r="I500" s="3">
        <v>192.41</v>
      </c>
      <c r="J500" s="3">
        <v>0.33</v>
      </c>
    </row>
    <row r="501" spans="1:10" ht="15" customHeight="1" x14ac:dyDescent="0.25">
      <c r="A501" s="2" t="s">
        <v>78</v>
      </c>
      <c r="B501" s="2" t="s">
        <v>400</v>
      </c>
      <c r="C501" s="2" t="s">
        <v>294</v>
      </c>
      <c r="D501" s="2" t="s">
        <v>295</v>
      </c>
      <c r="E501" s="2" t="s">
        <v>393</v>
      </c>
      <c r="F501" s="2"/>
      <c r="G501" s="4">
        <v>13</v>
      </c>
      <c r="H501" s="3">
        <v>15.21</v>
      </c>
      <c r="I501" s="3">
        <v>-197.67</v>
      </c>
      <c r="J501" s="3">
        <v>0.32</v>
      </c>
    </row>
    <row r="502" spans="1:10" ht="15" customHeight="1" x14ac:dyDescent="0.25">
      <c r="A502" s="2" t="s">
        <v>78</v>
      </c>
      <c r="B502" s="2" t="s">
        <v>400</v>
      </c>
      <c r="C502" s="2" t="s">
        <v>294</v>
      </c>
      <c r="D502" s="2" t="s">
        <v>345</v>
      </c>
      <c r="E502" s="2" t="s">
        <v>393</v>
      </c>
      <c r="F502" s="2"/>
      <c r="G502" s="4">
        <v>-13</v>
      </c>
      <c r="H502" s="3">
        <v>14.76</v>
      </c>
      <c r="I502" s="3">
        <v>191.88</v>
      </c>
      <c r="J502" s="3">
        <v>0.31</v>
      </c>
    </row>
    <row r="503" spans="1:10" ht="15" customHeight="1" x14ac:dyDescent="0.25">
      <c r="A503" s="2" t="s">
        <v>78</v>
      </c>
      <c r="B503" s="2" t="s">
        <v>401</v>
      </c>
      <c r="C503" s="2" t="s">
        <v>294</v>
      </c>
      <c r="D503" s="2" t="s">
        <v>295</v>
      </c>
      <c r="E503" s="2" t="s">
        <v>393</v>
      </c>
      <c r="F503" s="2"/>
      <c r="G503" s="4">
        <v>13</v>
      </c>
      <c r="H503" s="3">
        <v>15.95</v>
      </c>
      <c r="I503" s="3">
        <v>-207.35</v>
      </c>
      <c r="J503" s="3">
        <v>0.33</v>
      </c>
    </row>
    <row r="504" spans="1:10" ht="15" customHeight="1" x14ac:dyDescent="0.25">
      <c r="A504" s="2" t="s">
        <v>78</v>
      </c>
      <c r="B504" s="2" t="s">
        <v>401</v>
      </c>
      <c r="C504" s="2" t="s">
        <v>294</v>
      </c>
      <c r="D504" s="2" t="s">
        <v>345</v>
      </c>
      <c r="E504" s="2" t="s">
        <v>393</v>
      </c>
      <c r="F504" s="2"/>
      <c r="G504" s="4">
        <v>-13</v>
      </c>
      <c r="H504" s="3">
        <v>15.58</v>
      </c>
      <c r="I504" s="3">
        <v>202.55</v>
      </c>
      <c r="J504" s="3">
        <v>0.33</v>
      </c>
    </row>
    <row r="505" spans="1:10" ht="15" customHeight="1" x14ac:dyDescent="0.25">
      <c r="A505" s="2" t="s">
        <v>78</v>
      </c>
      <c r="B505" s="2" t="s">
        <v>402</v>
      </c>
      <c r="C505" s="2" t="s">
        <v>294</v>
      </c>
      <c r="D505" s="2" t="s">
        <v>295</v>
      </c>
      <c r="E505" s="2" t="s">
        <v>383</v>
      </c>
      <c r="F505" s="2"/>
      <c r="G505" s="4">
        <v>4</v>
      </c>
      <c r="H505" s="3">
        <v>33.880000000000003</v>
      </c>
      <c r="I505" s="3">
        <v>-135.51</v>
      </c>
      <c r="J505" s="3"/>
    </row>
    <row r="506" spans="1:10" ht="15" customHeight="1" x14ac:dyDescent="0.25">
      <c r="A506" s="2" t="s">
        <v>78</v>
      </c>
      <c r="B506" s="2" t="s">
        <v>402</v>
      </c>
      <c r="C506" s="2" t="s">
        <v>294</v>
      </c>
      <c r="D506" s="2" t="s">
        <v>295</v>
      </c>
      <c r="E506" s="2" t="s">
        <v>383</v>
      </c>
      <c r="F506" s="2"/>
      <c r="G506" s="4">
        <v>1.8942334649999999</v>
      </c>
      <c r="H506" s="3">
        <v>33.880000000000003</v>
      </c>
      <c r="I506" s="3">
        <v>-64.17</v>
      </c>
      <c r="J506" s="3">
        <v>0.32</v>
      </c>
    </row>
    <row r="507" spans="1:10" ht="15" customHeight="1" x14ac:dyDescent="0.25">
      <c r="A507" s="2" t="s">
        <v>78</v>
      </c>
      <c r="B507" s="2" t="s">
        <v>402</v>
      </c>
      <c r="C507" s="2" t="s">
        <v>294</v>
      </c>
      <c r="D507" s="2" t="s">
        <v>345</v>
      </c>
      <c r="E507" s="2" t="s">
        <v>383</v>
      </c>
      <c r="F507" s="2"/>
      <c r="G507" s="4">
        <v>-5</v>
      </c>
      <c r="H507" s="3">
        <v>33.22</v>
      </c>
      <c r="I507" s="3">
        <v>166.1</v>
      </c>
      <c r="J507" s="3"/>
    </row>
    <row r="508" spans="1:10" ht="15" customHeight="1" x14ac:dyDescent="0.25">
      <c r="A508" s="2" t="s">
        <v>78</v>
      </c>
      <c r="B508" s="2" t="s">
        <v>402</v>
      </c>
      <c r="C508" s="2" t="s">
        <v>294</v>
      </c>
      <c r="D508" s="2" t="s">
        <v>345</v>
      </c>
      <c r="E508" s="2" t="s">
        <v>383</v>
      </c>
      <c r="F508" s="2"/>
      <c r="G508" s="4">
        <v>-0.89423346500000001</v>
      </c>
      <c r="H508" s="3">
        <v>33.22</v>
      </c>
      <c r="I508" s="3">
        <v>29.71</v>
      </c>
      <c r="J508" s="3">
        <v>0.32</v>
      </c>
    </row>
    <row r="509" spans="1:10" ht="15" customHeight="1" x14ac:dyDescent="0.25">
      <c r="A509" s="2" t="s">
        <v>78</v>
      </c>
      <c r="B509" s="2" t="s">
        <v>403</v>
      </c>
      <c r="C509" s="2" t="s">
        <v>294</v>
      </c>
      <c r="D509" s="2" t="s">
        <v>295</v>
      </c>
      <c r="E509" s="2" t="s">
        <v>183</v>
      </c>
      <c r="F509" s="2"/>
      <c r="G509" s="4">
        <v>0.34630902499999999</v>
      </c>
      <c r="H509" s="3">
        <v>26.77</v>
      </c>
      <c r="I509" s="3">
        <v>-9.27</v>
      </c>
      <c r="J509" s="3">
        <v>0.01</v>
      </c>
    </row>
    <row r="510" spans="1:10" ht="15" customHeight="1" x14ac:dyDescent="0.25">
      <c r="A510" s="2" t="s">
        <v>78</v>
      </c>
      <c r="B510" s="2" t="s">
        <v>403</v>
      </c>
      <c r="C510" s="2" t="s">
        <v>294</v>
      </c>
      <c r="D510" s="2" t="s">
        <v>295</v>
      </c>
      <c r="E510" s="2" t="s">
        <v>383</v>
      </c>
      <c r="F510" s="2"/>
      <c r="G510" s="4">
        <v>4</v>
      </c>
      <c r="H510" s="3">
        <v>37.22</v>
      </c>
      <c r="I510" s="3">
        <v>-148.88</v>
      </c>
      <c r="J510" s="3"/>
    </row>
    <row r="511" spans="1:10" ht="15" customHeight="1" x14ac:dyDescent="0.25">
      <c r="A511" s="2" t="s">
        <v>78</v>
      </c>
      <c r="B511" s="2" t="s">
        <v>403</v>
      </c>
      <c r="C511" s="2" t="s">
        <v>294</v>
      </c>
      <c r="D511" s="2" t="s">
        <v>295</v>
      </c>
      <c r="E511" s="2" t="s">
        <v>383</v>
      </c>
      <c r="F511" s="2"/>
      <c r="G511" s="4">
        <v>1.3648576029999999</v>
      </c>
      <c r="H511" s="3">
        <v>37.22</v>
      </c>
      <c r="I511" s="3">
        <v>-50.8</v>
      </c>
      <c r="J511" s="3">
        <v>0.32</v>
      </c>
    </row>
    <row r="512" spans="1:10" ht="15" customHeight="1" x14ac:dyDescent="0.25">
      <c r="A512" s="2" t="s">
        <v>78</v>
      </c>
      <c r="B512" s="2" t="s">
        <v>403</v>
      </c>
      <c r="C512" s="2" t="s">
        <v>294</v>
      </c>
      <c r="D512" s="2" t="s">
        <v>345</v>
      </c>
      <c r="E512" s="2" t="s">
        <v>383</v>
      </c>
      <c r="F512" s="2"/>
      <c r="G512" s="4">
        <v>-5</v>
      </c>
      <c r="H512" s="3">
        <v>38.17</v>
      </c>
      <c r="I512" s="3">
        <v>190.84</v>
      </c>
      <c r="J512" s="3"/>
    </row>
    <row r="513" spans="1:10" ht="15" customHeight="1" x14ac:dyDescent="0.25">
      <c r="A513" s="2" t="s">
        <v>78</v>
      </c>
      <c r="B513" s="2" t="s">
        <v>403</v>
      </c>
      <c r="C513" s="2" t="s">
        <v>294</v>
      </c>
      <c r="D513" s="2" t="s">
        <v>345</v>
      </c>
      <c r="E513" s="2" t="s">
        <v>383</v>
      </c>
      <c r="F513" s="2"/>
      <c r="G513" s="4">
        <v>-0.36485760299999997</v>
      </c>
      <c r="H513" s="3">
        <v>38.17</v>
      </c>
      <c r="I513" s="3">
        <v>13.93</v>
      </c>
      <c r="J513" s="3">
        <v>0.33</v>
      </c>
    </row>
    <row r="514" spans="1:10" ht="15" customHeight="1" x14ac:dyDescent="0.25">
      <c r="A514" s="2" t="s">
        <v>78</v>
      </c>
      <c r="B514" s="2" t="s">
        <v>403</v>
      </c>
      <c r="C514" s="2" t="s">
        <v>294</v>
      </c>
      <c r="D514" s="2" t="s">
        <v>295</v>
      </c>
      <c r="E514" s="2" t="s">
        <v>166</v>
      </c>
      <c r="F514" s="2"/>
      <c r="G514" s="4">
        <v>0.24235645</v>
      </c>
      <c r="H514" s="3">
        <v>50.96</v>
      </c>
      <c r="I514" s="3">
        <v>-12.35</v>
      </c>
      <c r="J514" s="3">
        <v>0.02</v>
      </c>
    </row>
    <row r="515" spans="1:10" ht="15" customHeight="1" x14ac:dyDescent="0.25">
      <c r="A515" s="2" t="s">
        <v>78</v>
      </c>
      <c r="B515" s="2" t="s">
        <v>403</v>
      </c>
      <c r="C515" s="2" t="s">
        <v>294</v>
      </c>
      <c r="D515" s="2" t="s">
        <v>295</v>
      </c>
      <c r="E515" s="2" t="s">
        <v>127</v>
      </c>
      <c r="F515" s="2"/>
      <c r="G515" s="4">
        <v>0.48435171300000002</v>
      </c>
      <c r="H515" s="3">
        <v>25.5</v>
      </c>
      <c r="I515" s="3">
        <v>-12.35</v>
      </c>
      <c r="J515" s="3">
        <v>0.02</v>
      </c>
    </row>
    <row r="516" spans="1:10" ht="15" customHeight="1" x14ac:dyDescent="0.25">
      <c r="A516" s="2" t="s">
        <v>78</v>
      </c>
      <c r="B516" s="2" t="s">
        <v>403</v>
      </c>
      <c r="C516" s="2" t="s">
        <v>294</v>
      </c>
      <c r="D516" s="2" t="s">
        <v>295</v>
      </c>
      <c r="E516" s="2" t="s">
        <v>132</v>
      </c>
      <c r="F516" s="2"/>
      <c r="G516" s="4">
        <v>1</v>
      </c>
      <c r="H516" s="3">
        <v>12.92</v>
      </c>
      <c r="I516" s="3">
        <v>-12.92</v>
      </c>
      <c r="J516" s="3">
        <v>0.02</v>
      </c>
    </row>
    <row r="517" spans="1:10" ht="15" customHeight="1" x14ac:dyDescent="0.25">
      <c r="A517" s="2" t="s">
        <v>78</v>
      </c>
      <c r="B517" s="2" t="s">
        <v>403</v>
      </c>
      <c r="C517" s="2" t="s">
        <v>294</v>
      </c>
      <c r="D517" s="2" t="s">
        <v>295</v>
      </c>
      <c r="E517" s="2" t="s">
        <v>143</v>
      </c>
      <c r="F517" s="2"/>
      <c r="G517" s="4">
        <v>0.305046596</v>
      </c>
      <c r="H517" s="3">
        <v>50.65</v>
      </c>
      <c r="I517" s="3">
        <v>-15.45</v>
      </c>
      <c r="J517" s="3">
        <v>0.02</v>
      </c>
    </row>
    <row r="518" spans="1:10" ht="15" customHeight="1" x14ac:dyDescent="0.25">
      <c r="A518" s="2" t="s">
        <v>78</v>
      </c>
      <c r="B518" s="2" t="s">
        <v>403</v>
      </c>
      <c r="C518" s="2" t="s">
        <v>294</v>
      </c>
      <c r="D518" s="2" t="s">
        <v>295</v>
      </c>
      <c r="E518" s="2" t="s">
        <v>185</v>
      </c>
      <c r="F518" s="2"/>
      <c r="G518" s="4">
        <v>0.192132316</v>
      </c>
      <c r="H518" s="3">
        <v>48.25</v>
      </c>
      <c r="I518" s="3">
        <v>-9.27</v>
      </c>
      <c r="J518" s="3">
        <v>0.01</v>
      </c>
    </row>
    <row r="519" spans="1:10" ht="15" customHeight="1" x14ac:dyDescent="0.25">
      <c r="A519" s="2" t="s">
        <v>78</v>
      </c>
      <c r="B519" s="2" t="s">
        <v>403</v>
      </c>
      <c r="C519" s="2" t="s">
        <v>294</v>
      </c>
      <c r="D519" s="2" t="s">
        <v>295</v>
      </c>
      <c r="E519" s="2" t="s">
        <v>218</v>
      </c>
      <c r="F519" s="2"/>
      <c r="G519" s="4">
        <v>0.27868970700000001</v>
      </c>
      <c r="H519" s="3">
        <v>55.44</v>
      </c>
      <c r="I519" s="3">
        <v>-15.45</v>
      </c>
      <c r="J519" s="3">
        <v>0.02</v>
      </c>
    </row>
    <row r="520" spans="1:10" ht="15" customHeight="1" x14ac:dyDescent="0.25">
      <c r="A520" s="2" t="s">
        <v>78</v>
      </c>
      <c r="B520" s="2" t="s">
        <v>403</v>
      </c>
      <c r="C520" s="2" t="s">
        <v>294</v>
      </c>
      <c r="D520" s="2" t="s">
        <v>295</v>
      </c>
      <c r="E520" s="2" t="s">
        <v>152</v>
      </c>
      <c r="F520" s="2"/>
      <c r="G520" s="4">
        <v>0.31246839900000001</v>
      </c>
      <c r="H520" s="3">
        <v>19.78</v>
      </c>
      <c r="I520" s="3">
        <v>-6.18</v>
      </c>
      <c r="J520" s="3">
        <v>0.01</v>
      </c>
    </row>
    <row r="521" spans="1:10" ht="15" customHeight="1" x14ac:dyDescent="0.25">
      <c r="A521" s="2" t="s">
        <v>78</v>
      </c>
      <c r="B521" s="2" t="s">
        <v>403</v>
      </c>
      <c r="C521" s="2" t="s">
        <v>294</v>
      </c>
      <c r="D521" s="2" t="s">
        <v>295</v>
      </c>
      <c r="E521" s="2" t="s">
        <v>115</v>
      </c>
      <c r="F521" s="2"/>
      <c r="G521" s="4">
        <v>8.4106044000000005E-2</v>
      </c>
      <c r="H521" s="3">
        <v>110.22</v>
      </c>
      <c r="I521" s="3">
        <v>-9.27</v>
      </c>
      <c r="J521" s="3">
        <v>0.01</v>
      </c>
    </row>
    <row r="522" spans="1:10" ht="15" customHeight="1" x14ac:dyDescent="0.25">
      <c r="A522" s="2" t="s">
        <v>78</v>
      </c>
      <c r="B522" s="2" t="s">
        <v>403</v>
      </c>
      <c r="C522" s="2" t="s">
        <v>294</v>
      </c>
      <c r="D522" s="2" t="s">
        <v>295</v>
      </c>
      <c r="E522" s="2" t="s">
        <v>162</v>
      </c>
      <c r="F522" s="2"/>
      <c r="G522" s="4">
        <v>0.48664197300000001</v>
      </c>
      <c r="H522" s="3">
        <v>25.38</v>
      </c>
      <c r="I522" s="3">
        <v>-12.35</v>
      </c>
      <c r="J522" s="3">
        <v>0.02</v>
      </c>
    </row>
    <row r="523" spans="1:10" ht="15" customHeight="1" x14ac:dyDescent="0.25">
      <c r="A523" s="2" t="s">
        <v>78</v>
      </c>
      <c r="B523" s="2" t="s">
        <v>403</v>
      </c>
      <c r="C523" s="2" t="s">
        <v>294</v>
      </c>
      <c r="D523" s="2" t="s">
        <v>295</v>
      </c>
      <c r="E523" s="2" t="s">
        <v>164</v>
      </c>
      <c r="F523" s="2"/>
      <c r="G523" s="4">
        <v>0.46931956200000002</v>
      </c>
      <c r="H523" s="3">
        <v>13.17</v>
      </c>
      <c r="I523" s="3">
        <v>-6.18</v>
      </c>
      <c r="J523" s="3">
        <v>0.01</v>
      </c>
    </row>
    <row r="524" spans="1:10" ht="15" customHeight="1" x14ac:dyDescent="0.25">
      <c r="A524" s="2" t="s">
        <v>78</v>
      </c>
      <c r="B524" s="2" t="s">
        <v>404</v>
      </c>
      <c r="C524" s="2" t="s">
        <v>294</v>
      </c>
      <c r="D524" s="2" t="s">
        <v>295</v>
      </c>
      <c r="E524" s="2" t="s">
        <v>383</v>
      </c>
      <c r="F524" s="2"/>
      <c r="G524" s="4">
        <v>4</v>
      </c>
      <c r="H524" s="3">
        <v>34.520000000000003</v>
      </c>
      <c r="I524" s="3">
        <v>-138.06</v>
      </c>
      <c r="J524" s="3"/>
    </row>
    <row r="525" spans="1:10" ht="15" customHeight="1" x14ac:dyDescent="0.25">
      <c r="A525" s="2" t="s">
        <v>78</v>
      </c>
      <c r="B525" s="2" t="s">
        <v>404</v>
      </c>
      <c r="C525" s="2" t="s">
        <v>294</v>
      </c>
      <c r="D525" s="2" t="s">
        <v>295</v>
      </c>
      <c r="E525" s="2" t="s">
        <v>383</v>
      </c>
      <c r="F525" s="2"/>
      <c r="G525" s="4">
        <v>1.7852900439999999</v>
      </c>
      <c r="H525" s="3">
        <v>34.520000000000003</v>
      </c>
      <c r="I525" s="3">
        <v>-61.62</v>
      </c>
      <c r="J525" s="3">
        <v>0.32</v>
      </c>
    </row>
    <row r="526" spans="1:10" ht="15" customHeight="1" x14ac:dyDescent="0.25">
      <c r="A526" s="2" t="s">
        <v>78</v>
      </c>
      <c r="B526" s="2" t="s">
        <v>404</v>
      </c>
      <c r="C526" s="2" t="s">
        <v>294</v>
      </c>
      <c r="D526" s="2" t="s">
        <v>345</v>
      </c>
      <c r="E526" s="2" t="s">
        <v>383</v>
      </c>
      <c r="F526" s="2"/>
      <c r="G526" s="4">
        <v>-5</v>
      </c>
      <c r="H526" s="3">
        <v>34.950000000000003</v>
      </c>
      <c r="I526" s="3">
        <v>174.77</v>
      </c>
      <c r="J526" s="3"/>
    </row>
    <row r="527" spans="1:10" ht="15" customHeight="1" x14ac:dyDescent="0.25">
      <c r="A527" s="2" t="s">
        <v>78</v>
      </c>
      <c r="B527" s="2" t="s">
        <v>404</v>
      </c>
      <c r="C527" s="2" t="s">
        <v>294</v>
      </c>
      <c r="D527" s="2" t="s">
        <v>345</v>
      </c>
      <c r="E527" s="2" t="s">
        <v>383</v>
      </c>
      <c r="F527" s="2"/>
      <c r="G527" s="4">
        <v>-0.78529004400000002</v>
      </c>
      <c r="H527" s="3">
        <v>34.950000000000003</v>
      </c>
      <c r="I527" s="3">
        <v>27.45</v>
      </c>
      <c r="J527" s="3">
        <v>0.32</v>
      </c>
    </row>
    <row r="528" spans="1:10" ht="15" customHeight="1" x14ac:dyDescent="0.25">
      <c r="A528" s="2" t="s">
        <v>78</v>
      </c>
      <c r="B528" s="2" t="s">
        <v>405</v>
      </c>
      <c r="C528" s="2" t="s">
        <v>294</v>
      </c>
      <c r="D528" s="2" t="s">
        <v>295</v>
      </c>
      <c r="E528" s="2" t="s">
        <v>393</v>
      </c>
      <c r="F528" s="2"/>
      <c r="G528" s="4">
        <v>14</v>
      </c>
      <c r="H528" s="3">
        <v>14.24</v>
      </c>
      <c r="I528" s="3">
        <v>-199.36</v>
      </c>
      <c r="J528" s="3">
        <v>0.32</v>
      </c>
    </row>
    <row r="529" spans="1:10" ht="15" customHeight="1" x14ac:dyDescent="0.25">
      <c r="A529" s="2" t="s">
        <v>78</v>
      </c>
      <c r="B529" s="2" t="s">
        <v>405</v>
      </c>
      <c r="C529" s="2" t="s">
        <v>294</v>
      </c>
      <c r="D529" s="2" t="s">
        <v>345</v>
      </c>
      <c r="E529" s="2" t="s">
        <v>393</v>
      </c>
      <c r="F529" s="2"/>
      <c r="G529" s="4">
        <v>-14</v>
      </c>
      <c r="H529" s="3">
        <v>14.28</v>
      </c>
      <c r="I529" s="3">
        <v>199.93</v>
      </c>
      <c r="J529" s="3">
        <v>0.32</v>
      </c>
    </row>
    <row r="530" spans="1:10" ht="15" customHeight="1" x14ac:dyDescent="0.25">
      <c r="A530" s="2" t="s">
        <v>78</v>
      </c>
      <c r="B530" s="2" t="s">
        <v>406</v>
      </c>
      <c r="C530" s="2" t="s">
        <v>294</v>
      </c>
      <c r="D530" s="2" t="s">
        <v>295</v>
      </c>
      <c r="E530" s="2" t="s">
        <v>235</v>
      </c>
      <c r="F530" s="2"/>
      <c r="G530" s="4">
        <v>0.64805078400000005</v>
      </c>
      <c r="H530" s="3">
        <v>308.12</v>
      </c>
      <c r="I530" s="3">
        <v>-199.68</v>
      </c>
      <c r="J530" s="3">
        <v>0.32</v>
      </c>
    </row>
    <row r="531" spans="1:10" ht="15" customHeight="1" x14ac:dyDescent="0.25">
      <c r="A531" s="2" t="s">
        <v>78</v>
      </c>
      <c r="B531" s="2" t="s">
        <v>407</v>
      </c>
      <c r="C531" s="2" t="s">
        <v>294</v>
      </c>
      <c r="D531" s="2" t="s">
        <v>295</v>
      </c>
      <c r="E531" s="2" t="s">
        <v>215</v>
      </c>
      <c r="F531" s="2"/>
      <c r="G531" s="4">
        <v>1</v>
      </c>
      <c r="H531" s="3">
        <v>29.11</v>
      </c>
      <c r="I531" s="3">
        <v>-29.11</v>
      </c>
      <c r="J531" s="3">
        <v>0.05</v>
      </c>
    </row>
    <row r="532" spans="1:10" ht="15" customHeight="1" x14ac:dyDescent="0.25">
      <c r="A532" s="2" t="s">
        <v>78</v>
      </c>
      <c r="B532" s="2" t="s">
        <v>407</v>
      </c>
      <c r="C532" s="2" t="s">
        <v>294</v>
      </c>
      <c r="D532" s="2" t="s">
        <v>295</v>
      </c>
      <c r="E532" s="2" t="s">
        <v>225</v>
      </c>
      <c r="F532" s="2"/>
      <c r="G532" s="4">
        <v>3</v>
      </c>
      <c r="H532" s="3">
        <v>30</v>
      </c>
      <c r="I532" s="3">
        <v>-90</v>
      </c>
      <c r="J532" s="3"/>
    </row>
    <row r="533" spans="1:10" ht="15" customHeight="1" x14ac:dyDescent="0.25">
      <c r="A533" s="2" t="s">
        <v>78</v>
      </c>
      <c r="B533" s="2" t="s">
        <v>407</v>
      </c>
      <c r="C533" s="2" t="s">
        <v>294</v>
      </c>
      <c r="D533" s="2" t="s">
        <v>295</v>
      </c>
      <c r="E533" s="2" t="s">
        <v>225</v>
      </c>
      <c r="F533" s="2"/>
      <c r="G533" s="4">
        <v>1.9920996040000001</v>
      </c>
      <c r="H533" s="3">
        <v>30</v>
      </c>
      <c r="I533" s="3">
        <v>-59.76</v>
      </c>
      <c r="J533" s="3">
        <v>0.24</v>
      </c>
    </row>
    <row r="534" spans="1:10" ht="15" customHeight="1" x14ac:dyDescent="0.25">
      <c r="A534" s="2" t="s">
        <v>78</v>
      </c>
      <c r="B534" s="2" t="s">
        <v>407</v>
      </c>
      <c r="C534" s="2" t="s">
        <v>294</v>
      </c>
      <c r="D534" s="2" t="s">
        <v>295</v>
      </c>
      <c r="E534" s="2" t="s">
        <v>158</v>
      </c>
      <c r="F534" s="2"/>
      <c r="G534" s="4">
        <v>0.38052878600000001</v>
      </c>
      <c r="H534" s="3">
        <v>16.190000000000001</v>
      </c>
      <c r="I534" s="3">
        <v>-6.16</v>
      </c>
      <c r="J534" s="3">
        <v>0.01</v>
      </c>
    </row>
    <row r="535" spans="1:10" ht="15" customHeight="1" x14ac:dyDescent="0.25">
      <c r="A535" s="2" t="s">
        <v>78</v>
      </c>
      <c r="B535" s="2" t="s">
        <v>407</v>
      </c>
      <c r="C535" s="2" t="s">
        <v>294</v>
      </c>
      <c r="D535" s="2" t="s">
        <v>295</v>
      </c>
      <c r="E535" s="2" t="s">
        <v>179</v>
      </c>
      <c r="F535" s="2"/>
      <c r="G535" s="4">
        <v>1</v>
      </c>
      <c r="H535" s="3">
        <v>26.96</v>
      </c>
      <c r="I535" s="3">
        <v>-26.96</v>
      </c>
      <c r="J535" s="3">
        <v>0.04</v>
      </c>
    </row>
    <row r="536" spans="1:10" ht="15" customHeight="1" x14ac:dyDescent="0.25">
      <c r="A536" s="2" t="s">
        <v>78</v>
      </c>
      <c r="B536" s="2" t="s">
        <v>407</v>
      </c>
      <c r="C536" s="2" t="s">
        <v>294</v>
      </c>
      <c r="D536" s="2" t="s">
        <v>295</v>
      </c>
      <c r="E536" s="2" t="s">
        <v>145</v>
      </c>
      <c r="F536" s="2"/>
      <c r="G536" s="4">
        <v>0.37135278500000002</v>
      </c>
      <c r="H536" s="3">
        <v>16.59</v>
      </c>
      <c r="I536" s="3">
        <v>-6.16</v>
      </c>
      <c r="J536" s="3">
        <v>0.01</v>
      </c>
    </row>
    <row r="537" spans="1:10" ht="15" customHeight="1" x14ac:dyDescent="0.25">
      <c r="A537" s="2" t="s">
        <v>78</v>
      </c>
      <c r="B537" s="2" t="s">
        <v>407</v>
      </c>
      <c r="C537" s="2" t="s">
        <v>294</v>
      </c>
      <c r="D537" s="2" t="s">
        <v>295</v>
      </c>
      <c r="E537" s="2" t="s">
        <v>154</v>
      </c>
      <c r="F537" s="2"/>
      <c r="G537" s="4">
        <v>0.16664996800000001</v>
      </c>
      <c r="H537" s="3">
        <v>59.89</v>
      </c>
      <c r="I537" s="3">
        <v>-9.98</v>
      </c>
      <c r="J537" s="3">
        <v>0.02</v>
      </c>
    </row>
    <row r="538" spans="1:10" ht="15" customHeight="1" x14ac:dyDescent="0.25">
      <c r="A538" s="2" t="s">
        <v>78</v>
      </c>
      <c r="B538" s="2" t="s">
        <v>408</v>
      </c>
      <c r="C538" s="2" t="s">
        <v>294</v>
      </c>
      <c r="D538" s="2" t="s">
        <v>295</v>
      </c>
      <c r="E538" s="2" t="s">
        <v>233</v>
      </c>
      <c r="F538" s="2"/>
      <c r="G538" s="4">
        <v>1</v>
      </c>
      <c r="H538" s="3">
        <v>48.4</v>
      </c>
      <c r="I538" s="3">
        <v>-48.4</v>
      </c>
      <c r="J538" s="3"/>
    </row>
    <row r="539" spans="1:10" ht="15" customHeight="1" x14ac:dyDescent="0.25">
      <c r="A539" s="2" t="s">
        <v>78</v>
      </c>
      <c r="B539" s="2" t="s">
        <v>408</v>
      </c>
      <c r="C539" s="2" t="s">
        <v>294</v>
      </c>
      <c r="D539" s="2" t="s">
        <v>295</v>
      </c>
      <c r="E539" s="2" t="s">
        <v>233</v>
      </c>
      <c r="F539" s="2"/>
      <c r="G539" s="4">
        <v>1.7847254930000001</v>
      </c>
      <c r="H539" s="3">
        <v>48.4</v>
      </c>
      <c r="I539" s="3">
        <v>-86.38</v>
      </c>
      <c r="J539" s="3">
        <v>0.22</v>
      </c>
    </row>
    <row r="540" spans="1:10" ht="15" customHeight="1" x14ac:dyDescent="0.25">
      <c r="A540" s="2" t="s">
        <v>78</v>
      </c>
      <c r="B540" s="2" t="s">
        <v>409</v>
      </c>
      <c r="C540" s="2" t="s">
        <v>294</v>
      </c>
      <c r="D540" s="2" t="s">
        <v>345</v>
      </c>
      <c r="E540" s="2" t="s">
        <v>187</v>
      </c>
      <c r="F540" s="2"/>
      <c r="G540" s="4">
        <v>-17</v>
      </c>
      <c r="H540" s="3">
        <v>36.729999999999997</v>
      </c>
      <c r="I540" s="3">
        <v>624.34</v>
      </c>
      <c r="J540" s="3">
        <v>1</v>
      </c>
    </row>
    <row r="541" spans="1:10" ht="15" customHeight="1" x14ac:dyDescent="0.25">
      <c r="A541" s="2" t="s">
        <v>80</v>
      </c>
      <c r="B541" s="2" t="s">
        <v>410</v>
      </c>
      <c r="C541" s="2"/>
      <c r="D541" s="2"/>
      <c r="E541" s="2" t="s">
        <v>238</v>
      </c>
      <c r="F541" s="2" t="s">
        <v>411</v>
      </c>
      <c r="G541" s="4">
        <v>18</v>
      </c>
      <c r="H541" s="3"/>
      <c r="I541" s="3"/>
      <c r="J541" s="3"/>
    </row>
    <row r="542" spans="1:10" ht="15" customHeight="1" x14ac:dyDescent="0.25">
      <c r="A542" s="2" t="s">
        <v>80</v>
      </c>
      <c r="B542" s="2" t="s">
        <v>412</v>
      </c>
      <c r="C542" s="2" t="s">
        <v>294</v>
      </c>
      <c r="D542" s="2" t="s">
        <v>295</v>
      </c>
      <c r="E542" s="2" t="s">
        <v>225</v>
      </c>
      <c r="F542" s="2"/>
      <c r="G542" s="4">
        <v>1</v>
      </c>
      <c r="H542" s="3">
        <v>29.61</v>
      </c>
      <c r="I542" s="3">
        <v>-29.61</v>
      </c>
      <c r="J542" s="3"/>
    </row>
    <row r="543" spans="1:10" ht="15" customHeight="1" x14ac:dyDescent="0.25">
      <c r="A543" s="2" t="s">
        <v>80</v>
      </c>
      <c r="B543" s="2" t="s">
        <v>412</v>
      </c>
      <c r="C543" s="2" t="s">
        <v>294</v>
      </c>
      <c r="D543" s="2" t="s">
        <v>295</v>
      </c>
      <c r="E543" s="2" t="s">
        <v>225</v>
      </c>
      <c r="F543" s="2"/>
      <c r="G543" s="4">
        <v>1.0905615259999999</v>
      </c>
      <c r="H543" s="3">
        <v>29.61</v>
      </c>
      <c r="I543" s="3">
        <v>-32.29</v>
      </c>
      <c r="J543" s="3">
        <v>0.1</v>
      </c>
    </row>
    <row r="544" spans="1:10" ht="15" customHeight="1" x14ac:dyDescent="0.25">
      <c r="A544" s="2" t="s">
        <v>80</v>
      </c>
      <c r="B544" s="2" t="s">
        <v>412</v>
      </c>
      <c r="C544" s="2" t="s">
        <v>294</v>
      </c>
      <c r="D544" s="2" t="s">
        <v>295</v>
      </c>
      <c r="E544" s="2" t="s">
        <v>121</v>
      </c>
      <c r="F544" s="2"/>
      <c r="G544" s="4">
        <v>2</v>
      </c>
      <c r="H544" s="3">
        <v>32.96</v>
      </c>
      <c r="I544" s="3">
        <v>-65.930000000000007</v>
      </c>
      <c r="J544" s="3"/>
    </row>
    <row r="545" spans="1:10" ht="15" customHeight="1" x14ac:dyDescent="0.25">
      <c r="A545" s="2" t="s">
        <v>80</v>
      </c>
      <c r="B545" s="2" t="s">
        <v>412</v>
      </c>
      <c r="C545" s="2" t="s">
        <v>294</v>
      </c>
      <c r="D545" s="2" t="s">
        <v>295</v>
      </c>
      <c r="E545" s="2" t="s">
        <v>121</v>
      </c>
      <c r="F545" s="2"/>
      <c r="G545" s="4">
        <v>1.3369535530000001</v>
      </c>
      <c r="H545" s="3">
        <v>32.96</v>
      </c>
      <c r="I545" s="3">
        <v>-44.07</v>
      </c>
      <c r="J545" s="3"/>
    </row>
    <row r="546" spans="1:10" ht="15" customHeight="1" x14ac:dyDescent="0.25">
      <c r="A546" s="2" t="s">
        <v>80</v>
      </c>
      <c r="B546" s="2" t="s">
        <v>412</v>
      </c>
      <c r="C546" s="2" t="s">
        <v>294</v>
      </c>
      <c r="D546" s="2" t="s">
        <v>295</v>
      </c>
      <c r="E546" s="2" t="s">
        <v>213</v>
      </c>
      <c r="F546" s="2"/>
      <c r="G546" s="4">
        <v>2</v>
      </c>
      <c r="H546" s="3">
        <v>27.04</v>
      </c>
      <c r="I546" s="3">
        <v>-54.08</v>
      </c>
      <c r="J546" s="3"/>
    </row>
    <row r="547" spans="1:10" ht="15" customHeight="1" x14ac:dyDescent="0.25">
      <c r="A547" s="2" t="s">
        <v>80</v>
      </c>
      <c r="B547" s="2" t="s">
        <v>412</v>
      </c>
      <c r="C547" s="2" t="s">
        <v>294</v>
      </c>
      <c r="D547" s="2" t="s">
        <v>295</v>
      </c>
      <c r="E547" s="2" t="s">
        <v>213</v>
      </c>
      <c r="F547" s="2"/>
      <c r="G547" s="4">
        <v>1.6982311320000001</v>
      </c>
      <c r="H547" s="3">
        <v>27.04</v>
      </c>
      <c r="I547" s="3">
        <v>-45.92</v>
      </c>
      <c r="J547" s="3"/>
    </row>
    <row r="548" spans="1:10" ht="15" customHeight="1" x14ac:dyDescent="0.25">
      <c r="A548" s="2" t="s">
        <v>80</v>
      </c>
      <c r="B548" s="2" t="s">
        <v>412</v>
      </c>
      <c r="C548" s="2" t="s">
        <v>294</v>
      </c>
      <c r="D548" s="2" t="s">
        <v>295</v>
      </c>
      <c r="E548" s="2" t="s">
        <v>190</v>
      </c>
      <c r="F548" s="2"/>
      <c r="G548" s="4">
        <v>5</v>
      </c>
      <c r="H548" s="3">
        <v>24.63</v>
      </c>
      <c r="I548" s="3">
        <v>-123.16</v>
      </c>
      <c r="J548" s="3"/>
    </row>
    <row r="549" spans="1:10" ht="15" customHeight="1" x14ac:dyDescent="0.25">
      <c r="A549" s="2" t="s">
        <v>82</v>
      </c>
      <c r="B549" s="2" t="s">
        <v>413</v>
      </c>
      <c r="C549" s="2" t="s">
        <v>294</v>
      </c>
      <c r="D549" s="2" t="s">
        <v>295</v>
      </c>
      <c r="E549" s="2" t="s">
        <v>242</v>
      </c>
      <c r="F549" s="2"/>
      <c r="G549" s="4">
        <v>6</v>
      </c>
      <c r="H549" s="3">
        <v>19.05</v>
      </c>
      <c r="I549" s="3">
        <v>-114.29</v>
      </c>
      <c r="J549" s="3"/>
    </row>
    <row r="550" spans="1:10" ht="15" customHeight="1" x14ac:dyDescent="0.25">
      <c r="A550" s="2" t="s">
        <v>82</v>
      </c>
      <c r="B550" s="2" t="s">
        <v>413</v>
      </c>
      <c r="C550" s="2" t="s">
        <v>294</v>
      </c>
      <c r="D550" s="2" t="s">
        <v>295</v>
      </c>
      <c r="E550" s="2" t="s">
        <v>242</v>
      </c>
      <c r="F550" s="2"/>
      <c r="G550" s="4">
        <v>1.874658771</v>
      </c>
      <c r="H550" s="3">
        <v>19.05</v>
      </c>
      <c r="I550" s="3">
        <v>-35.71</v>
      </c>
      <c r="J550" s="3"/>
    </row>
    <row r="551" spans="1:10" ht="15" customHeight="1" x14ac:dyDescent="0.25">
      <c r="A551" s="2" t="s">
        <v>82</v>
      </c>
      <c r="B551" s="2" t="s">
        <v>414</v>
      </c>
      <c r="C551" s="2" t="s">
        <v>294</v>
      </c>
      <c r="D551" s="2" t="s">
        <v>295</v>
      </c>
      <c r="E551" s="2" t="s">
        <v>240</v>
      </c>
      <c r="F551" s="2"/>
      <c r="G551" s="4">
        <v>1.295479316</v>
      </c>
      <c r="H551" s="3">
        <v>77.069999999999993</v>
      </c>
      <c r="I551" s="3">
        <v>-99.84</v>
      </c>
      <c r="J551" s="3">
        <v>0.16</v>
      </c>
    </row>
    <row r="552" spans="1:10" ht="15" customHeight="1" x14ac:dyDescent="0.25">
      <c r="A552" s="2" t="s">
        <v>82</v>
      </c>
      <c r="B552" s="2" t="s">
        <v>414</v>
      </c>
      <c r="C552" s="2" t="s">
        <v>294</v>
      </c>
      <c r="D552" s="2" t="s">
        <v>295</v>
      </c>
      <c r="E552" s="2" t="s">
        <v>132</v>
      </c>
      <c r="F552" s="2"/>
      <c r="G552" s="4">
        <v>4</v>
      </c>
      <c r="H552" s="3">
        <v>13.58</v>
      </c>
      <c r="I552" s="3">
        <v>-54.31</v>
      </c>
      <c r="J552" s="3">
        <v>0.09</v>
      </c>
    </row>
    <row r="553" spans="1:10" ht="15" customHeight="1" x14ac:dyDescent="0.25">
      <c r="A553" s="2" t="s">
        <v>82</v>
      </c>
      <c r="B553" s="2" t="s">
        <v>414</v>
      </c>
      <c r="C553" s="2" t="s">
        <v>294</v>
      </c>
      <c r="D553" s="2" t="s">
        <v>295</v>
      </c>
      <c r="E553" s="2" t="s">
        <v>218</v>
      </c>
      <c r="F553" s="2"/>
      <c r="G553" s="4">
        <v>1.219767198</v>
      </c>
      <c r="H553" s="3">
        <v>57.39</v>
      </c>
      <c r="I553" s="3">
        <v>-70</v>
      </c>
      <c r="J553" s="3"/>
    </row>
    <row r="554" spans="1:10" ht="15" customHeight="1" x14ac:dyDescent="0.25">
      <c r="A554" s="2" t="s">
        <v>82</v>
      </c>
      <c r="B554" s="2" t="s">
        <v>414</v>
      </c>
      <c r="C554" s="2" t="s">
        <v>294</v>
      </c>
      <c r="D554" s="2" t="s">
        <v>345</v>
      </c>
      <c r="E554" s="2" t="s">
        <v>149</v>
      </c>
      <c r="F554" s="2"/>
      <c r="G554" s="4">
        <v>-3</v>
      </c>
      <c r="H554" s="3">
        <v>46.07</v>
      </c>
      <c r="I554" s="3">
        <v>138.22</v>
      </c>
      <c r="J554" s="3"/>
    </row>
    <row r="555" spans="1:10" ht="15" customHeight="1" x14ac:dyDescent="0.25">
      <c r="A555" s="2" t="s">
        <v>82</v>
      </c>
      <c r="B555" s="2" t="s">
        <v>414</v>
      </c>
      <c r="C555" s="2" t="s">
        <v>294</v>
      </c>
      <c r="D555" s="2" t="s">
        <v>345</v>
      </c>
      <c r="E555" s="2" t="s">
        <v>149</v>
      </c>
      <c r="F555" s="2"/>
      <c r="G555" s="4">
        <v>-0.70188727799999995</v>
      </c>
      <c r="H555" s="3">
        <v>46.07</v>
      </c>
      <c r="I555" s="3">
        <v>32.340000000000003</v>
      </c>
      <c r="J555" s="3">
        <v>0.27</v>
      </c>
    </row>
    <row r="556" spans="1:10" ht="15" customHeight="1" x14ac:dyDescent="0.25">
      <c r="A556" s="2" t="s">
        <v>82</v>
      </c>
      <c r="B556" s="2" t="s">
        <v>414</v>
      </c>
      <c r="C556" s="2" t="s">
        <v>294</v>
      </c>
      <c r="D556" s="2" t="s">
        <v>295</v>
      </c>
      <c r="E556" s="2" t="s">
        <v>129</v>
      </c>
      <c r="F556" s="2"/>
      <c r="G556" s="4">
        <v>3</v>
      </c>
      <c r="H556" s="3">
        <v>49.79</v>
      </c>
      <c r="I556" s="3">
        <v>-149.37</v>
      </c>
      <c r="J556" s="3"/>
    </row>
    <row r="557" spans="1:10" ht="15" customHeight="1" x14ac:dyDescent="0.25">
      <c r="A557" s="2" t="s">
        <v>82</v>
      </c>
      <c r="B557" s="2" t="s">
        <v>415</v>
      </c>
      <c r="C557" s="2" t="s">
        <v>294</v>
      </c>
      <c r="D557" s="2" t="s">
        <v>295</v>
      </c>
      <c r="E557" s="2" t="s">
        <v>166</v>
      </c>
      <c r="F557" s="2"/>
      <c r="G557" s="4">
        <v>1.2152027949999999</v>
      </c>
      <c r="H557" s="3">
        <v>50.94</v>
      </c>
      <c r="I557" s="3">
        <v>-61.9</v>
      </c>
      <c r="J557" s="3">
        <v>0.1</v>
      </c>
    </row>
    <row r="558" spans="1:10" ht="15" customHeight="1" x14ac:dyDescent="0.25">
      <c r="A558" s="2" t="s">
        <v>82</v>
      </c>
      <c r="B558" s="2" t="s">
        <v>415</v>
      </c>
      <c r="C558" s="2" t="s">
        <v>294</v>
      </c>
      <c r="D558" s="2" t="s">
        <v>295</v>
      </c>
      <c r="E558" s="2" t="s">
        <v>127</v>
      </c>
      <c r="F558" s="2"/>
      <c r="G558" s="4">
        <v>1.8440050210000001</v>
      </c>
      <c r="H558" s="3">
        <v>25.49</v>
      </c>
      <c r="I558" s="3">
        <v>-47</v>
      </c>
      <c r="J558" s="3"/>
    </row>
    <row r="559" spans="1:10" ht="15" customHeight="1" x14ac:dyDescent="0.25">
      <c r="A559" s="2" t="s">
        <v>82</v>
      </c>
      <c r="B559" s="2" t="s">
        <v>415</v>
      </c>
      <c r="C559" s="2" t="s">
        <v>294</v>
      </c>
      <c r="D559" s="2" t="s">
        <v>295</v>
      </c>
      <c r="E559" s="2" t="s">
        <v>143</v>
      </c>
      <c r="F559" s="2"/>
      <c r="G559" s="4">
        <v>1.2231267779999999</v>
      </c>
      <c r="H559" s="3">
        <v>50.61</v>
      </c>
      <c r="I559" s="3">
        <v>-61.9</v>
      </c>
      <c r="J559" s="3">
        <v>0.1</v>
      </c>
    </row>
    <row r="560" spans="1:10" ht="15" customHeight="1" x14ac:dyDescent="0.25">
      <c r="A560" s="2" t="s">
        <v>82</v>
      </c>
      <c r="B560" s="2" t="s">
        <v>415</v>
      </c>
      <c r="C560" s="2" t="s">
        <v>294</v>
      </c>
      <c r="D560" s="2" t="s">
        <v>295</v>
      </c>
      <c r="E560" s="2" t="s">
        <v>185</v>
      </c>
      <c r="F560" s="2"/>
      <c r="G560" s="4">
        <v>1.2872234229999999</v>
      </c>
      <c r="H560" s="3">
        <v>48.09</v>
      </c>
      <c r="I560" s="3">
        <v>-61.9</v>
      </c>
      <c r="J560" s="3">
        <v>0.1</v>
      </c>
    </row>
    <row r="561" spans="1:10" ht="15" customHeight="1" x14ac:dyDescent="0.25">
      <c r="A561" s="2" t="s">
        <v>82</v>
      </c>
      <c r="B561" s="2" t="s">
        <v>415</v>
      </c>
      <c r="C561" s="2" t="s">
        <v>294</v>
      </c>
      <c r="D561" s="2" t="s">
        <v>295</v>
      </c>
      <c r="E561" s="2" t="s">
        <v>115</v>
      </c>
      <c r="F561" s="2"/>
      <c r="G561" s="4">
        <v>0.27221254299999997</v>
      </c>
      <c r="H561" s="3">
        <v>110.21</v>
      </c>
      <c r="I561" s="3">
        <v>-30</v>
      </c>
      <c r="J561" s="3"/>
    </row>
    <row r="562" spans="1:10" ht="15" customHeight="1" x14ac:dyDescent="0.25">
      <c r="A562" s="2" t="s">
        <v>82</v>
      </c>
      <c r="B562" s="2" t="s">
        <v>415</v>
      </c>
      <c r="C562" s="2" t="s">
        <v>294</v>
      </c>
      <c r="D562" s="2" t="s">
        <v>295</v>
      </c>
      <c r="E562" s="2" t="s">
        <v>162</v>
      </c>
      <c r="F562" s="2"/>
      <c r="G562" s="4">
        <v>2</v>
      </c>
      <c r="H562" s="3">
        <v>25.47</v>
      </c>
      <c r="I562" s="3">
        <v>-50.94</v>
      </c>
      <c r="J562" s="3"/>
    </row>
    <row r="563" spans="1:10" ht="15" customHeight="1" x14ac:dyDescent="0.25">
      <c r="A563" s="2" t="s">
        <v>82</v>
      </c>
      <c r="B563" s="2" t="s">
        <v>415</v>
      </c>
      <c r="C563" s="2" t="s">
        <v>294</v>
      </c>
      <c r="D563" s="2" t="s">
        <v>295</v>
      </c>
      <c r="E563" s="2" t="s">
        <v>162</v>
      </c>
      <c r="F563" s="2"/>
      <c r="G563" s="4">
        <v>1.606209682</v>
      </c>
      <c r="H563" s="3">
        <v>25.47</v>
      </c>
      <c r="I563" s="3">
        <v>-40.909999999999997</v>
      </c>
      <c r="J563" s="3">
        <v>0.15</v>
      </c>
    </row>
    <row r="564" spans="1:10" ht="15" customHeight="1" x14ac:dyDescent="0.25">
      <c r="A564" s="2" t="s">
        <v>82</v>
      </c>
      <c r="B564" s="2" t="s">
        <v>416</v>
      </c>
      <c r="C564" s="2" t="s">
        <v>294</v>
      </c>
      <c r="D564" s="2" t="s">
        <v>295</v>
      </c>
      <c r="E564" s="2" t="s">
        <v>183</v>
      </c>
      <c r="F564" s="2"/>
      <c r="G564" s="4">
        <v>1</v>
      </c>
      <c r="H564" s="3">
        <v>26.73</v>
      </c>
      <c r="I564" s="3">
        <v>-26.73</v>
      </c>
      <c r="J564" s="3"/>
    </row>
    <row r="565" spans="1:10" ht="15" customHeight="1" x14ac:dyDescent="0.25">
      <c r="A565" s="2" t="s">
        <v>82</v>
      </c>
      <c r="B565" s="2" t="s">
        <v>416</v>
      </c>
      <c r="C565" s="2" t="s">
        <v>294</v>
      </c>
      <c r="D565" s="2" t="s">
        <v>295</v>
      </c>
      <c r="E565" s="2" t="s">
        <v>183</v>
      </c>
      <c r="F565" s="2"/>
      <c r="G565" s="4">
        <v>1.3158977810000001</v>
      </c>
      <c r="H565" s="3">
        <v>26.73</v>
      </c>
      <c r="I565" s="3">
        <v>-35.17</v>
      </c>
      <c r="J565" s="3">
        <v>0.1</v>
      </c>
    </row>
    <row r="566" spans="1:10" ht="15" customHeight="1" x14ac:dyDescent="0.25">
      <c r="A566" s="2" t="s">
        <v>82</v>
      </c>
      <c r="B566" s="2" t="s">
        <v>417</v>
      </c>
      <c r="C566" s="2" t="s">
        <v>294</v>
      </c>
      <c r="D566" s="2" t="s">
        <v>295</v>
      </c>
      <c r="E566" s="2" t="s">
        <v>158</v>
      </c>
      <c r="F566" s="2"/>
      <c r="G566" s="4">
        <v>1</v>
      </c>
      <c r="H566" s="3">
        <v>15.22</v>
      </c>
      <c r="I566" s="3">
        <v>-15.22</v>
      </c>
      <c r="J566" s="3"/>
    </row>
    <row r="567" spans="1:10" ht="15" customHeight="1" x14ac:dyDescent="0.25">
      <c r="A567" s="2" t="s">
        <v>82</v>
      </c>
      <c r="B567" s="2" t="s">
        <v>417</v>
      </c>
      <c r="C567" s="2" t="s">
        <v>294</v>
      </c>
      <c r="D567" s="2" t="s">
        <v>295</v>
      </c>
      <c r="E567" s="2" t="s">
        <v>158</v>
      </c>
      <c r="F567" s="2"/>
      <c r="G567" s="4">
        <v>1.033528913</v>
      </c>
      <c r="H567" s="3">
        <v>15.22</v>
      </c>
      <c r="I567" s="3">
        <v>-15.73</v>
      </c>
      <c r="J567" s="3">
        <v>0.05</v>
      </c>
    </row>
    <row r="568" spans="1:10" ht="15" customHeight="1" x14ac:dyDescent="0.25">
      <c r="A568" s="2" t="s">
        <v>82</v>
      </c>
      <c r="B568" s="2" t="s">
        <v>417</v>
      </c>
      <c r="C568" s="2" t="s">
        <v>294</v>
      </c>
      <c r="D568" s="2" t="s">
        <v>295</v>
      </c>
      <c r="E568" s="2" t="s">
        <v>145</v>
      </c>
      <c r="F568" s="2"/>
      <c r="G568" s="4">
        <v>2</v>
      </c>
      <c r="H568" s="3">
        <v>16.43</v>
      </c>
      <c r="I568" s="3">
        <v>-32.86</v>
      </c>
      <c r="J568" s="3"/>
    </row>
    <row r="569" spans="1:10" ht="15" customHeight="1" x14ac:dyDescent="0.25">
      <c r="A569" s="2" t="s">
        <v>82</v>
      </c>
      <c r="B569" s="2" t="s">
        <v>417</v>
      </c>
      <c r="C569" s="2" t="s">
        <v>294</v>
      </c>
      <c r="D569" s="2" t="s">
        <v>295</v>
      </c>
      <c r="E569" s="2" t="s">
        <v>145</v>
      </c>
      <c r="F569" s="2"/>
      <c r="G569" s="4">
        <v>1.706644593</v>
      </c>
      <c r="H569" s="3">
        <v>16.43</v>
      </c>
      <c r="I569" s="3">
        <v>-28.04</v>
      </c>
      <c r="J569" s="3">
        <v>0.1</v>
      </c>
    </row>
    <row r="570" spans="1:10" ht="15" customHeight="1" x14ac:dyDescent="0.25">
      <c r="A570" s="2" t="s">
        <v>82</v>
      </c>
      <c r="B570" s="2" t="s">
        <v>417</v>
      </c>
      <c r="C570" s="2" t="s">
        <v>294</v>
      </c>
      <c r="D570" s="2" t="s">
        <v>295</v>
      </c>
      <c r="E570" s="2" t="s">
        <v>194</v>
      </c>
      <c r="F570" s="2"/>
      <c r="G570" s="4">
        <v>1</v>
      </c>
      <c r="H570" s="3">
        <v>62.6</v>
      </c>
      <c r="I570" s="3">
        <v>-62.6</v>
      </c>
      <c r="J570" s="3">
        <v>0.1</v>
      </c>
    </row>
    <row r="571" spans="1:10" ht="15" customHeight="1" x14ac:dyDescent="0.25">
      <c r="A571" s="2" t="s">
        <v>82</v>
      </c>
      <c r="B571" s="2" t="s">
        <v>417</v>
      </c>
      <c r="C571" s="2" t="s">
        <v>294</v>
      </c>
      <c r="D571" s="2" t="s">
        <v>295</v>
      </c>
      <c r="E571" s="2" t="s">
        <v>196</v>
      </c>
      <c r="F571" s="2"/>
      <c r="G571" s="4">
        <v>1</v>
      </c>
      <c r="H571" s="3">
        <v>23.15</v>
      </c>
      <c r="I571" s="3">
        <v>-23.15</v>
      </c>
      <c r="J571" s="3"/>
    </row>
    <row r="572" spans="1:10" ht="15" customHeight="1" x14ac:dyDescent="0.25">
      <c r="A572" s="2" t="s">
        <v>82</v>
      </c>
      <c r="B572" s="2" t="s">
        <v>417</v>
      </c>
      <c r="C572" s="2" t="s">
        <v>294</v>
      </c>
      <c r="D572" s="2" t="s">
        <v>295</v>
      </c>
      <c r="E572" s="2" t="s">
        <v>196</v>
      </c>
      <c r="F572" s="2"/>
      <c r="G572" s="4">
        <v>1.630669546</v>
      </c>
      <c r="H572" s="3">
        <v>23.15</v>
      </c>
      <c r="I572" s="3">
        <v>-37.75</v>
      </c>
      <c r="J572" s="3">
        <v>0.1</v>
      </c>
    </row>
    <row r="573" spans="1:10" ht="15" customHeight="1" x14ac:dyDescent="0.25">
      <c r="A573" s="2" t="s">
        <v>82</v>
      </c>
      <c r="B573" s="2" t="s">
        <v>418</v>
      </c>
      <c r="C573" s="2" t="s">
        <v>294</v>
      </c>
      <c r="D573" s="2" t="s">
        <v>295</v>
      </c>
      <c r="E573" s="2" t="s">
        <v>215</v>
      </c>
      <c r="F573" s="2"/>
      <c r="G573" s="4">
        <v>2</v>
      </c>
      <c r="H573" s="3">
        <v>27.89</v>
      </c>
      <c r="I573" s="3">
        <v>-55.77</v>
      </c>
      <c r="J573" s="3">
        <v>0.09</v>
      </c>
    </row>
    <row r="574" spans="1:10" ht="15" customHeight="1" x14ac:dyDescent="0.25">
      <c r="A574" s="2" t="s">
        <v>82</v>
      </c>
      <c r="B574" s="2" t="s">
        <v>418</v>
      </c>
      <c r="C574" s="2" t="s">
        <v>294</v>
      </c>
      <c r="D574" s="2" t="s">
        <v>295</v>
      </c>
      <c r="E574" s="2" t="s">
        <v>179</v>
      </c>
      <c r="F574" s="2"/>
      <c r="G574" s="4">
        <v>3</v>
      </c>
      <c r="H574" s="3">
        <v>26.74</v>
      </c>
      <c r="I574" s="3">
        <v>-80.209999999999994</v>
      </c>
      <c r="J574" s="3">
        <v>0.13</v>
      </c>
    </row>
    <row r="575" spans="1:10" ht="15" customHeight="1" x14ac:dyDescent="0.25">
      <c r="A575" s="2" t="s">
        <v>82</v>
      </c>
      <c r="B575" s="2" t="s">
        <v>418</v>
      </c>
      <c r="C575" s="2" t="s">
        <v>294</v>
      </c>
      <c r="D575" s="2" t="s">
        <v>295</v>
      </c>
      <c r="E575" s="2" t="s">
        <v>154</v>
      </c>
      <c r="F575" s="2"/>
      <c r="G575" s="4">
        <v>1.0018732850000001</v>
      </c>
      <c r="H575" s="3">
        <v>59.79</v>
      </c>
      <c r="I575" s="3">
        <v>-59.9</v>
      </c>
      <c r="J575" s="3">
        <v>0.1</v>
      </c>
    </row>
    <row r="576" spans="1:10" ht="15" customHeight="1" x14ac:dyDescent="0.25">
      <c r="A576" s="2" t="s">
        <v>82</v>
      </c>
      <c r="B576" s="2" t="s">
        <v>419</v>
      </c>
      <c r="C576" s="2" t="s">
        <v>294</v>
      </c>
      <c r="D576" s="2" t="s">
        <v>345</v>
      </c>
      <c r="E576" s="2" t="s">
        <v>220</v>
      </c>
      <c r="F576" s="2"/>
      <c r="G576" s="4">
        <v>-6.3424902000000005E-2</v>
      </c>
      <c r="H576" s="3">
        <v>488.41</v>
      </c>
      <c r="I576" s="3">
        <v>30.98</v>
      </c>
      <c r="J576" s="3">
        <v>0.05</v>
      </c>
    </row>
    <row r="577" spans="1:10" ht="15" customHeight="1" x14ac:dyDescent="0.25">
      <c r="A577" s="2" t="s">
        <v>82</v>
      </c>
      <c r="B577" s="2" t="s">
        <v>420</v>
      </c>
      <c r="C577" s="2" t="s">
        <v>294</v>
      </c>
      <c r="D577" s="2" t="s">
        <v>295</v>
      </c>
      <c r="E577" s="2" t="s">
        <v>134</v>
      </c>
      <c r="F577" s="2"/>
      <c r="G577" s="4">
        <v>1</v>
      </c>
      <c r="H577" s="3">
        <v>25.56</v>
      </c>
      <c r="I577" s="3">
        <v>-25.56</v>
      </c>
      <c r="J577" s="3"/>
    </row>
    <row r="578" spans="1:10" ht="15" customHeight="1" x14ac:dyDescent="0.25">
      <c r="A578" s="2" t="s">
        <v>82</v>
      </c>
      <c r="B578" s="2" t="s">
        <v>420</v>
      </c>
      <c r="C578" s="2" t="s">
        <v>294</v>
      </c>
      <c r="D578" s="2" t="s">
        <v>295</v>
      </c>
      <c r="E578" s="2" t="s">
        <v>134</v>
      </c>
      <c r="F578" s="2"/>
      <c r="G578" s="4">
        <v>1.3827643540000001</v>
      </c>
      <c r="H578" s="3">
        <v>25.56</v>
      </c>
      <c r="I578" s="3">
        <v>-35.340000000000003</v>
      </c>
      <c r="J578" s="3">
        <v>0.1</v>
      </c>
    </row>
    <row r="579" spans="1:10" ht="15" customHeight="1" x14ac:dyDescent="0.25">
      <c r="A579" s="2" t="s">
        <v>82</v>
      </c>
      <c r="B579" s="2" t="s">
        <v>420</v>
      </c>
      <c r="C579" s="2" t="s">
        <v>294</v>
      </c>
      <c r="D579" s="2" t="s">
        <v>295</v>
      </c>
      <c r="E579" s="2" t="s">
        <v>152</v>
      </c>
      <c r="F579" s="2"/>
      <c r="G579" s="4">
        <v>5</v>
      </c>
      <c r="H579" s="3">
        <v>11.78</v>
      </c>
      <c r="I579" s="3">
        <v>-58.88</v>
      </c>
      <c r="J579" s="3"/>
    </row>
    <row r="580" spans="1:10" ht="15" customHeight="1" x14ac:dyDescent="0.25">
      <c r="A580" s="2" t="s">
        <v>82</v>
      </c>
      <c r="B580" s="2" t="s">
        <v>420</v>
      </c>
      <c r="C580" s="2" t="s">
        <v>294</v>
      </c>
      <c r="D580" s="2" t="s">
        <v>295</v>
      </c>
      <c r="E580" s="2" t="s">
        <v>152</v>
      </c>
      <c r="F580" s="2"/>
      <c r="G580" s="4">
        <v>1.4436999479999999</v>
      </c>
      <c r="H580" s="3">
        <v>11.78</v>
      </c>
      <c r="I580" s="3">
        <v>-17</v>
      </c>
      <c r="J580" s="3">
        <v>0.12</v>
      </c>
    </row>
    <row r="581" spans="1:10" ht="15" customHeight="1" x14ac:dyDescent="0.25">
      <c r="A581" s="2" t="s">
        <v>82</v>
      </c>
      <c r="B581" s="2" t="s">
        <v>420</v>
      </c>
      <c r="C581" s="2" t="s">
        <v>294</v>
      </c>
      <c r="D581" s="2" t="s">
        <v>295</v>
      </c>
      <c r="E581" s="2" t="s">
        <v>244</v>
      </c>
      <c r="F581" s="2"/>
      <c r="G581" s="4">
        <v>1</v>
      </c>
      <c r="H581" s="3">
        <v>21.61</v>
      </c>
      <c r="I581" s="3">
        <v>-21.61</v>
      </c>
      <c r="J581" s="3"/>
    </row>
    <row r="582" spans="1:10" ht="15" customHeight="1" x14ac:dyDescent="0.25">
      <c r="A582" s="2" t="s">
        <v>82</v>
      </c>
      <c r="B582" s="2" t="s">
        <v>420</v>
      </c>
      <c r="C582" s="2" t="s">
        <v>294</v>
      </c>
      <c r="D582" s="2" t="s">
        <v>295</v>
      </c>
      <c r="E582" s="2" t="s">
        <v>244</v>
      </c>
      <c r="F582" s="2"/>
      <c r="G582" s="4">
        <v>1.7722749360000001</v>
      </c>
      <c r="H582" s="3">
        <v>21.61</v>
      </c>
      <c r="I582" s="3">
        <v>-38.29</v>
      </c>
      <c r="J582" s="3">
        <v>0.1</v>
      </c>
    </row>
    <row r="583" spans="1:10" ht="15" customHeight="1" x14ac:dyDescent="0.25">
      <c r="A583" s="2" t="s">
        <v>82</v>
      </c>
      <c r="B583" s="2" t="s">
        <v>420</v>
      </c>
      <c r="C583" s="2" t="s">
        <v>294</v>
      </c>
      <c r="D583" s="2" t="s">
        <v>295</v>
      </c>
      <c r="E583" s="2" t="s">
        <v>136</v>
      </c>
      <c r="F583" s="2"/>
      <c r="G583" s="4">
        <v>1</v>
      </c>
      <c r="H583" s="3">
        <v>25.07</v>
      </c>
      <c r="I583" s="3">
        <v>-25.07</v>
      </c>
      <c r="J583" s="3"/>
    </row>
    <row r="584" spans="1:10" ht="15" customHeight="1" x14ac:dyDescent="0.25">
      <c r="A584" s="2" t="s">
        <v>82</v>
      </c>
      <c r="B584" s="2" t="s">
        <v>420</v>
      </c>
      <c r="C584" s="2" t="s">
        <v>294</v>
      </c>
      <c r="D584" s="2" t="s">
        <v>295</v>
      </c>
      <c r="E584" s="2" t="s">
        <v>136</v>
      </c>
      <c r="F584" s="2"/>
      <c r="G584" s="4">
        <v>1.429289464</v>
      </c>
      <c r="H584" s="3">
        <v>25.07</v>
      </c>
      <c r="I584" s="3">
        <v>-35.83</v>
      </c>
      <c r="J584" s="3">
        <v>0.1</v>
      </c>
    </row>
    <row r="585" spans="1:10" ht="15" customHeight="1" x14ac:dyDescent="0.25">
      <c r="A585" s="2" t="s">
        <v>82</v>
      </c>
      <c r="B585" s="2" t="s">
        <v>421</v>
      </c>
      <c r="C585" s="2" t="s">
        <v>422</v>
      </c>
      <c r="D585" s="2"/>
      <c r="E585" s="2" t="s">
        <v>238</v>
      </c>
      <c r="F585" s="2" t="s">
        <v>423</v>
      </c>
      <c r="G585" s="4">
        <v>-18</v>
      </c>
      <c r="H585" s="3"/>
      <c r="I585" s="3"/>
      <c r="J585" s="3"/>
    </row>
    <row r="586" spans="1:10" ht="15" customHeight="1" x14ac:dyDescent="0.25">
      <c r="A586" s="2" t="s">
        <v>84</v>
      </c>
      <c r="B586" s="2" t="s">
        <v>424</v>
      </c>
      <c r="C586" s="2" t="s">
        <v>294</v>
      </c>
      <c r="D586" s="2" t="s">
        <v>295</v>
      </c>
      <c r="E586" s="2" t="s">
        <v>166</v>
      </c>
      <c r="F586" s="2"/>
      <c r="G586" s="4">
        <v>1.2166358740000001</v>
      </c>
      <c r="H586" s="3">
        <v>50.88</v>
      </c>
      <c r="I586" s="3">
        <v>-61.9</v>
      </c>
      <c r="J586" s="3">
        <v>0.1</v>
      </c>
    </row>
    <row r="587" spans="1:10" ht="15" customHeight="1" x14ac:dyDescent="0.25">
      <c r="A587" s="2" t="s">
        <v>84</v>
      </c>
      <c r="B587" s="2" t="s">
        <v>424</v>
      </c>
      <c r="C587" s="2" t="s">
        <v>294</v>
      </c>
      <c r="D587" s="2" t="s">
        <v>295</v>
      </c>
      <c r="E587" s="2" t="s">
        <v>127</v>
      </c>
      <c r="F587" s="2"/>
      <c r="G587" s="4">
        <v>1.843035588</v>
      </c>
      <c r="H587" s="3">
        <v>25.46</v>
      </c>
      <c r="I587" s="3">
        <v>-46.92</v>
      </c>
      <c r="J587" s="3">
        <v>0.08</v>
      </c>
    </row>
    <row r="588" spans="1:10" ht="15" customHeight="1" x14ac:dyDescent="0.25">
      <c r="A588" s="2" t="s">
        <v>84</v>
      </c>
      <c r="B588" s="2" t="s">
        <v>424</v>
      </c>
      <c r="C588" s="2" t="s">
        <v>294</v>
      </c>
      <c r="D588" s="2" t="s">
        <v>295</v>
      </c>
      <c r="E588" s="2" t="s">
        <v>218</v>
      </c>
      <c r="F588" s="2"/>
      <c r="G588" s="4">
        <v>1.202377271</v>
      </c>
      <c r="H588" s="3">
        <v>58.22</v>
      </c>
      <c r="I588" s="3">
        <v>-70</v>
      </c>
      <c r="J588" s="3"/>
    </row>
    <row r="589" spans="1:10" ht="15" customHeight="1" x14ac:dyDescent="0.25">
      <c r="A589" s="2" t="s">
        <v>84</v>
      </c>
      <c r="B589" s="2" t="s">
        <v>424</v>
      </c>
      <c r="C589" s="2" t="s">
        <v>294</v>
      </c>
      <c r="D589" s="2" t="s">
        <v>295</v>
      </c>
      <c r="E589" s="2" t="s">
        <v>129</v>
      </c>
      <c r="F589" s="2"/>
      <c r="G589" s="4">
        <v>2</v>
      </c>
      <c r="H589" s="3">
        <v>49.65</v>
      </c>
      <c r="I589" s="3">
        <v>-99.3</v>
      </c>
      <c r="J589" s="3"/>
    </row>
    <row r="590" spans="1:10" ht="15" customHeight="1" x14ac:dyDescent="0.25">
      <c r="A590" s="2" t="s">
        <v>84</v>
      </c>
      <c r="B590" s="2" t="s">
        <v>424</v>
      </c>
      <c r="C590" s="2" t="s">
        <v>294</v>
      </c>
      <c r="D590" s="2" t="s">
        <v>295</v>
      </c>
      <c r="E590" s="2" t="s">
        <v>119</v>
      </c>
      <c r="F590" s="2"/>
      <c r="G590" s="4">
        <v>0.15931811800000001</v>
      </c>
      <c r="H590" s="3">
        <v>100.43</v>
      </c>
      <c r="I590" s="3">
        <v>-16</v>
      </c>
      <c r="J590" s="3"/>
    </row>
    <row r="591" spans="1:10" ht="15" customHeight="1" x14ac:dyDescent="0.25">
      <c r="A591" s="2" t="s">
        <v>84</v>
      </c>
      <c r="B591" s="2" t="s">
        <v>424</v>
      </c>
      <c r="C591" s="2" t="s">
        <v>294</v>
      </c>
      <c r="D591" s="2" t="s">
        <v>295</v>
      </c>
      <c r="E591" s="2" t="s">
        <v>115</v>
      </c>
      <c r="F591" s="2"/>
      <c r="G591" s="4">
        <v>0.144934112</v>
      </c>
      <c r="H591" s="3">
        <v>110.19</v>
      </c>
      <c r="I591" s="3">
        <v>-15.97</v>
      </c>
      <c r="J591" s="3">
        <v>0.03</v>
      </c>
    </row>
    <row r="592" spans="1:10" ht="15" customHeight="1" x14ac:dyDescent="0.25">
      <c r="A592" s="2" t="s">
        <v>84</v>
      </c>
      <c r="B592" s="2" t="s">
        <v>424</v>
      </c>
      <c r="C592" s="2" t="s">
        <v>294</v>
      </c>
      <c r="D592" s="2" t="s">
        <v>295</v>
      </c>
      <c r="E592" s="2" t="s">
        <v>162</v>
      </c>
      <c r="F592" s="2"/>
      <c r="G592" s="4">
        <v>1</v>
      </c>
      <c r="H592" s="3">
        <v>25.25</v>
      </c>
      <c r="I592" s="3">
        <v>-25.25</v>
      </c>
      <c r="J592" s="3"/>
    </row>
    <row r="593" spans="1:10" ht="15" customHeight="1" x14ac:dyDescent="0.25">
      <c r="A593" s="2" t="s">
        <v>84</v>
      </c>
      <c r="B593" s="2" t="s">
        <v>424</v>
      </c>
      <c r="C593" s="2" t="s">
        <v>294</v>
      </c>
      <c r="D593" s="2" t="s">
        <v>295</v>
      </c>
      <c r="E593" s="2" t="s">
        <v>162</v>
      </c>
      <c r="F593" s="2"/>
      <c r="G593" s="4">
        <v>1.4515943769999999</v>
      </c>
      <c r="H593" s="3">
        <v>25.25</v>
      </c>
      <c r="I593" s="3">
        <v>-36.65</v>
      </c>
      <c r="J593" s="3">
        <v>0.1</v>
      </c>
    </row>
    <row r="594" spans="1:10" ht="15" customHeight="1" x14ac:dyDescent="0.25">
      <c r="A594" s="2" t="s">
        <v>84</v>
      </c>
      <c r="B594" s="2" t="s">
        <v>425</v>
      </c>
      <c r="C594" s="2" t="s">
        <v>294</v>
      </c>
      <c r="D594" s="2" t="s">
        <v>295</v>
      </c>
      <c r="E594" s="2" t="s">
        <v>183</v>
      </c>
      <c r="F594" s="2"/>
      <c r="G594" s="4">
        <v>1</v>
      </c>
      <c r="H594" s="3">
        <v>26.57</v>
      </c>
      <c r="I594" s="3">
        <v>-26.57</v>
      </c>
      <c r="J594" s="3"/>
    </row>
    <row r="595" spans="1:10" ht="15" customHeight="1" x14ac:dyDescent="0.25">
      <c r="A595" s="2" t="s">
        <v>84</v>
      </c>
      <c r="B595" s="2" t="s">
        <v>425</v>
      </c>
      <c r="C595" s="2" t="s">
        <v>294</v>
      </c>
      <c r="D595" s="2" t="s">
        <v>295</v>
      </c>
      <c r="E595" s="2" t="s">
        <v>183</v>
      </c>
      <c r="F595" s="2"/>
      <c r="G595" s="4">
        <v>1.329845296</v>
      </c>
      <c r="H595" s="3">
        <v>26.57</v>
      </c>
      <c r="I595" s="3">
        <v>-35.33</v>
      </c>
      <c r="J595" s="3">
        <v>0.1</v>
      </c>
    </row>
    <row r="596" spans="1:10" ht="15" customHeight="1" x14ac:dyDescent="0.25">
      <c r="A596" s="2" t="s">
        <v>84</v>
      </c>
      <c r="B596" s="2" t="s">
        <v>425</v>
      </c>
      <c r="C596" s="2" t="s">
        <v>294</v>
      </c>
      <c r="D596" s="2" t="s">
        <v>295</v>
      </c>
      <c r="E596" s="2" t="s">
        <v>158</v>
      </c>
      <c r="F596" s="2"/>
      <c r="G596" s="4">
        <v>1</v>
      </c>
      <c r="H596" s="3">
        <v>12.95</v>
      </c>
      <c r="I596" s="3">
        <v>-12.95</v>
      </c>
      <c r="J596" s="3"/>
    </row>
    <row r="597" spans="1:10" ht="15" customHeight="1" x14ac:dyDescent="0.25">
      <c r="A597" s="2" t="s">
        <v>84</v>
      </c>
      <c r="B597" s="2" t="s">
        <v>425</v>
      </c>
      <c r="C597" s="2" t="s">
        <v>294</v>
      </c>
      <c r="D597" s="2" t="s">
        <v>295</v>
      </c>
      <c r="E597" s="2" t="s">
        <v>158</v>
      </c>
      <c r="F597" s="2"/>
      <c r="G597" s="4">
        <v>1.389982856</v>
      </c>
      <c r="H597" s="3">
        <v>12.95</v>
      </c>
      <c r="I597" s="3">
        <v>-18</v>
      </c>
      <c r="J597" s="3">
        <v>0.05</v>
      </c>
    </row>
    <row r="598" spans="1:10" ht="15" customHeight="1" x14ac:dyDescent="0.25">
      <c r="A598" s="2" t="s">
        <v>84</v>
      </c>
      <c r="B598" s="2" t="s">
        <v>425</v>
      </c>
      <c r="C598" s="2" t="s">
        <v>294</v>
      </c>
      <c r="D598" s="2" t="s">
        <v>295</v>
      </c>
      <c r="E598" s="2" t="s">
        <v>132</v>
      </c>
      <c r="F598" s="2"/>
      <c r="G598" s="4">
        <v>3</v>
      </c>
      <c r="H598" s="3">
        <v>14.57</v>
      </c>
      <c r="I598" s="3">
        <v>-43.7</v>
      </c>
      <c r="J598" s="3">
        <v>7.0000000000000007E-2</v>
      </c>
    </row>
    <row r="599" spans="1:10" ht="15" customHeight="1" x14ac:dyDescent="0.25">
      <c r="A599" s="2" t="s">
        <v>84</v>
      </c>
      <c r="B599" s="2" t="s">
        <v>425</v>
      </c>
      <c r="C599" s="2" t="s">
        <v>294</v>
      </c>
      <c r="D599" s="2" t="s">
        <v>295</v>
      </c>
      <c r="E599" s="2" t="s">
        <v>152</v>
      </c>
      <c r="F599" s="2"/>
      <c r="G599" s="4">
        <v>7</v>
      </c>
      <c r="H599" s="3">
        <v>9.56</v>
      </c>
      <c r="I599" s="3">
        <v>-66.900000000000006</v>
      </c>
      <c r="J599" s="3"/>
    </row>
    <row r="600" spans="1:10" ht="15" customHeight="1" x14ac:dyDescent="0.25">
      <c r="A600" s="2" t="s">
        <v>84</v>
      </c>
      <c r="B600" s="2" t="s">
        <v>425</v>
      </c>
      <c r="C600" s="2" t="s">
        <v>294</v>
      </c>
      <c r="D600" s="2" t="s">
        <v>295</v>
      </c>
      <c r="E600" s="2" t="s">
        <v>152</v>
      </c>
      <c r="F600" s="2"/>
      <c r="G600" s="4">
        <v>1.14892014</v>
      </c>
      <c r="H600" s="3">
        <v>9.56</v>
      </c>
      <c r="I600" s="3">
        <v>-10.98</v>
      </c>
      <c r="J600" s="3">
        <v>0.12</v>
      </c>
    </row>
    <row r="601" spans="1:10" ht="15" customHeight="1" x14ac:dyDescent="0.25">
      <c r="A601" s="2" t="s">
        <v>84</v>
      </c>
      <c r="B601" s="2" t="s">
        <v>425</v>
      </c>
      <c r="C601" s="2" t="s">
        <v>294</v>
      </c>
      <c r="D601" s="2" t="s">
        <v>295</v>
      </c>
      <c r="E601" s="2" t="s">
        <v>145</v>
      </c>
      <c r="F601" s="2"/>
      <c r="G601" s="4">
        <v>2</v>
      </c>
      <c r="H601" s="3">
        <v>15.6</v>
      </c>
      <c r="I601" s="3">
        <v>-31.19</v>
      </c>
      <c r="J601" s="3"/>
    </row>
    <row r="602" spans="1:10" ht="15" customHeight="1" x14ac:dyDescent="0.25">
      <c r="A602" s="2" t="s">
        <v>84</v>
      </c>
      <c r="B602" s="2" t="s">
        <v>425</v>
      </c>
      <c r="C602" s="2" t="s">
        <v>294</v>
      </c>
      <c r="D602" s="2" t="s">
        <v>295</v>
      </c>
      <c r="E602" s="2" t="s">
        <v>145</v>
      </c>
      <c r="F602" s="2"/>
      <c r="G602" s="4">
        <v>1.840762207</v>
      </c>
      <c r="H602" s="3">
        <v>15.6</v>
      </c>
      <c r="I602" s="3">
        <v>-28.71</v>
      </c>
      <c r="J602" s="3">
        <v>0.1</v>
      </c>
    </row>
    <row r="603" spans="1:10" ht="15" customHeight="1" x14ac:dyDescent="0.25">
      <c r="A603" s="2" t="s">
        <v>84</v>
      </c>
      <c r="B603" s="2" t="s">
        <v>425</v>
      </c>
      <c r="C603" s="2" t="s">
        <v>294</v>
      </c>
      <c r="D603" s="2" t="s">
        <v>295</v>
      </c>
      <c r="E603" s="2" t="s">
        <v>194</v>
      </c>
      <c r="F603" s="2"/>
      <c r="G603" s="4">
        <v>1</v>
      </c>
      <c r="H603" s="3">
        <v>60.97</v>
      </c>
      <c r="I603" s="3">
        <v>-60.97</v>
      </c>
      <c r="J603" s="3">
        <v>0.1</v>
      </c>
    </row>
    <row r="604" spans="1:10" ht="15" customHeight="1" x14ac:dyDescent="0.25">
      <c r="A604" s="2" t="s">
        <v>84</v>
      </c>
      <c r="B604" s="2" t="s">
        <v>426</v>
      </c>
      <c r="C604" s="2" t="s">
        <v>294</v>
      </c>
      <c r="D604" s="2" t="s">
        <v>295</v>
      </c>
      <c r="E604" s="2" t="s">
        <v>215</v>
      </c>
      <c r="F604" s="2"/>
      <c r="G604" s="4">
        <v>2</v>
      </c>
      <c r="H604" s="3">
        <v>29.44</v>
      </c>
      <c r="I604" s="3">
        <v>-58.88</v>
      </c>
      <c r="J604" s="3">
        <v>0.09</v>
      </c>
    </row>
    <row r="605" spans="1:10" ht="15" customHeight="1" x14ac:dyDescent="0.25">
      <c r="A605" s="2" t="s">
        <v>84</v>
      </c>
      <c r="B605" s="2" t="s">
        <v>426</v>
      </c>
      <c r="C605" s="2" t="s">
        <v>294</v>
      </c>
      <c r="D605" s="2" t="s">
        <v>295</v>
      </c>
      <c r="E605" s="2" t="s">
        <v>179</v>
      </c>
      <c r="F605" s="2"/>
      <c r="G605" s="4">
        <v>2</v>
      </c>
      <c r="H605" s="3">
        <v>25.87</v>
      </c>
      <c r="I605" s="3">
        <v>-51.74</v>
      </c>
      <c r="J605" s="3">
        <v>0.08</v>
      </c>
    </row>
    <row r="606" spans="1:10" ht="15" customHeight="1" x14ac:dyDescent="0.25">
      <c r="A606" s="2" t="s">
        <v>84</v>
      </c>
      <c r="B606" s="2" t="s">
        <v>426</v>
      </c>
      <c r="C606" s="2" t="s">
        <v>294</v>
      </c>
      <c r="D606" s="2" t="s">
        <v>295</v>
      </c>
      <c r="E606" s="2" t="s">
        <v>196</v>
      </c>
      <c r="F606" s="2"/>
      <c r="G606" s="4">
        <v>1</v>
      </c>
      <c r="H606" s="3">
        <v>24.18</v>
      </c>
      <c r="I606" s="3">
        <v>-24.18</v>
      </c>
      <c r="J606" s="3"/>
    </row>
    <row r="607" spans="1:10" ht="15" customHeight="1" x14ac:dyDescent="0.25">
      <c r="A607" s="2" t="s">
        <v>84</v>
      </c>
      <c r="B607" s="2" t="s">
        <v>426</v>
      </c>
      <c r="C607" s="2" t="s">
        <v>294</v>
      </c>
      <c r="D607" s="2" t="s">
        <v>295</v>
      </c>
      <c r="E607" s="2" t="s">
        <v>196</v>
      </c>
      <c r="F607" s="2"/>
      <c r="G607" s="4">
        <v>1.477315025</v>
      </c>
      <c r="H607" s="3">
        <v>24.18</v>
      </c>
      <c r="I607" s="3">
        <v>-35.72</v>
      </c>
      <c r="J607" s="3">
        <v>0.1</v>
      </c>
    </row>
    <row r="608" spans="1:10" ht="15" customHeight="1" x14ac:dyDescent="0.25">
      <c r="A608" s="2" t="s">
        <v>84</v>
      </c>
      <c r="B608" s="2" t="s">
        <v>427</v>
      </c>
      <c r="C608" s="2" t="s">
        <v>294</v>
      </c>
      <c r="D608" s="2" t="s">
        <v>295</v>
      </c>
      <c r="E608" s="2" t="s">
        <v>111</v>
      </c>
      <c r="F608" s="2"/>
      <c r="G608" s="4">
        <v>0.18262167400000001</v>
      </c>
      <c r="H608" s="3">
        <v>136.68</v>
      </c>
      <c r="I608" s="3">
        <v>-24.96</v>
      </c>
      <c r="J608" s="3">
        <v>0.04</v>
      </c>
    </row>
    <row r="609" spans="1:10" ht="15" customHeight="1" x14ac:dyDescent="0.25">
      <c r="A609" s="2" t="s">
        <v>84</v>
      </c>
      <c r="B609" s="2" t="s">
        <v>427</v>
      </c>
      <c r="C609" s="2" t="s">
        <v>294</v>
      </c>
      <c r="D609" s="2" t="s">
        <v>295</v>
      </c>
      <c r="E609" s="2" t="s">
        <v>240</v>
      </c>
      <c r="F609" s="2"/>
      <c r="G609" s="4">
        <v>0.68001634600000005</v>
      </c>
      <c r="H609" s="3">
        <v>73.41</v>
      </c>
      <c r="I609" s="3">
        <v>-49.92</v>
      </c>
      <c r="J609" s="3">
        <v>0.08</v>
      </c>
    </row>
    <row r="610" spans="1:10" ht="15" customHeight="1" x14ac:dyDescent="0.25">
      <c r="A610" s="2" t="s">
        <v>84</v>
      </c>
      <c r="B610" s="2" t="s">
        <v>427</v>
      </c>
      <c r="C610" s="2" t="s">
        <v>294</v>
      </c>
      <c r="D610" s="2" t="s">
        <v>295</v>
      </c>
      <c r="E610" s="2" t="s">
        <v>175</v>
      </c>
      <c r="F610" s="2"/>
      <c r="G610" s="4">
        <v>0.29888636000000002</v>
      </c>
      <c r="H610" s="3">
        <v>167.02</v>
      </c>
      <c r="I610" s="3">
        <v>-49.92</v>
      </c>
      <c r="J610" s="3">
        <v>0.08</v>
      </c>
    </row>
    <row r="611" spans="1:10" ht="15" customHeight="1" x14ac:dyDescent="0.25">
      <c r="A611" s="2" t="s">
        <v>84</v>
      </c>
      <c r="B611" s="2" t="s">
        <v>427</v>
      </c>
      <c r="C611" s="2" t="s">
        <v>294</v>
      </c>
      <c r="D611" s="2" t="s">
        <v>295</v>
      </c>
      <c r="E611" s="2" t="s">
        <v>235</v>
      </c>
      <c r="F611" s="2"/>
      <c r="G611" s="4">
        <v>6.5451375000000006E-2</v>
      </c>
      <c r="H611" s="3">
        <v>305.11</v>
      </c>
      <c r="I611" s="3">
        <v>-19.97</v>
      </c>
      <c r="J611" s="3">
        <v>0.03</v>
      </c>
    </row>
    <row r="612" spans="1:10" ht="15" customHeight="1" x14ac:dyDescent="0.25">
      <c r="A612" s="2" t="s">
        <v>84</v>
      </c>
      <c r="B612" s="2" t="s">
        <v>428</v>
      </c>
      <c r="C612" s="2" t="s">
        <v>294</v>
      </c>
      <c r="D612" s="2" t="s">
        <v>295</v>
      </c>
      <c r="E612" s="2" t="s">
        <v>170</v>
      </c>
      <c r="F612" s="2"/>
      <c r="G612" s="4">
        <v>1.3123303930000001</v>
      </c>
      <c r="H612" s="3">
        <v>47.17</v>
      </c>
      <c r="I612" s="3">
        <v>-61.9</v>
      </c>
      <c r="J612" s="3">
        <v>0.1</v>
      </c>
    </row>
    <row r="613" spans="1:10" ht="15" customHeight="1" x14ac:dyDescent="0.25">
      <c r="A613" s="2" t="s">
        <v>84</v>
      </c>
      <c r="B613" s="2" t="s">
        <v>428</v>
      </c>
      <c r="C613" s="2" t="s">
        <v>294</v>
      </c>
      <c r="D613" s="2" t="s">
        <v>295</v>
      </c>
      <c r="E613" s="2" t="s">
        <v>134</v>
      </c>
      <c r="F613" s="2"/>
      <c r="G613" s="4">
        <v>1.797088974</v>
      </c>
      <c r="H613" s="3">
        <v>25.56</v>
      </c>
      <c r="I613" s="3">
        <v>-45.93</v>
      </c>
      <c r="J613" s="3">
        <v>7.0000000000000007E-2</v>
      </c>
    </row>
    <row r="614" spans="1:10" ht="15" customHeight="1" x14ac:dyDescent="0.25">
      <c r="A614" s="2" t="s">
        <v>84</v>
      </c>
      <c r="B614" s="2" t="s">
        <v>428</v>
      </c>
      <c r="C614" s="2" t="s">
        <v>294</v>
      </c>
      <c r="D614" s="2" t="s">
        <v>295</v>
      </c>
      <c r="E614" s="2" t="s">
        <v>143</v>
      </c>
      <c r="F614" s="2"/>
      <c r="G614" s="4">
        <v>0.90523867700000005</v>
      </c>
      <c r="H614" s="3">
        <v>50.74</v>
      </c>
      <c r="I614" s="3">
        <v>-45.93</v>
      </c>
      <c r="J614" s="3">
        <v>7.0000000000000007E-2</v>
      </c>
    </row>
    <row r="615" spans="1:10" ht="15" customHeight="1" x14ac:dyDescent="0.25">
      <c r="A615" s="2" t="s">
        <v>84</v>
      </c>
      <c r="B615" s="2" t="s">
        <v>428</v>
      </c>
      <c r="C615" s="2" t="s">
        <v>294</v>
      </c>
      <c r="D615" s="2" t="s">
        <v>295</v>
      </c>
      <c r="E615" s="2" t="s">
        <v>185</v>
      </c>
      <c r="F615" s="2"/>
      <c r="G615" s="4">
        <v>1.2885632199999999</v>
      </c>
      <c r="H615" s="3">
        <v>48.04</v>
      </c>
      <c r="I615" s="3">
        <v>-61.9</v>
      </c>
      <c r="J615" s="3">
        <v>0.1</v>
      </c>
    </row>
    <row r="616" spans="1:10" ht="15" customHeight="1" x14ac:dyDescent="0.25">
      <c r="A616" s="2" t="s">
        <v>84</v>
      </c>
      <c r="B616" s="2" t="s">
        <v>428</v>
      </c>
      <c r="C616" s="2" t="s">
        <v>294</v>
      </c>
      <c r="D616" s="2" t="s">
        <v>295</v>
      </c>
      <c r="E616" s="2" t="s">
        <v>121</v>
      </c>
      <c r="F616" s="2"/>
      <c r="G616" s="4">
        <v>2</v>
      </c>
      <c r="H616" s="3">
        <v>31.06</v>
      </c>
      <c r="I616" s="3">
        <v>-62.12</v>
      </c>
      <c r="J616" s="3"/>
    </row>
    <row r="617" spans="1:10" ht="15" customHeight="1" x14ac:dyDescent="0.25">
      <c r="A617" s="2" t="s">
        <v>84</v>
      </c>
      <c r="B617" s="2" t="s">
        <v>428</v>
      </c>
      <c r="C617" s="2" t="s">
        <v>294</v>
      </c>
      <c r="D617" s="2" t="s">
        <v>295</v>
      </c>
      <c r="E617" s="2" t="s">
        <v>121</v>
      </c>
      <c r="F617" s="2"/>
      <c r="G617" s="4">
        <v>1.4716677389999999</v>
      </c>
      <c r="H617" s="3">
        <v>31.06</v>
      </c>
      <c r="I617" s="3">
        <v>-45.71</v>
      </c>
      <c r="J617" s="3">
        <v>0.17</v>
      </c>
    </row>
    <row r="618" spans="1:10" ht="15" customHeight="1" x14ac:dyDescent="0.25">
      <c r="A618" s="2" t="s">
        <v>84</v>
      </c>
      <c r="B618" s="2" t="s">
        <v>428</v>
      </c>
      <c r="C618" s="2" t="s">
        <v>294</v>
      </c>
      <c r="D618" s="2" t="s">
        <v>295</v>
      </c>
      <c r="E618" s="2" t="s">
        <v>154</v>
      </c>
      <c r="F618" s="2"/>
      <c r="G618" s="4">
        <v>0.81574463600000002</v>
      </c>
      <c r="H618" s="3">
        <v>57.52</v>
      </c>
      <c r="I618" s="3">
        <v>-46.92</v>
      </c>
      <c r="J618" s="3">
        <v>0.08</v>
      </c>
    </row>
    <row r="619" spans="1:10" ht="15" customHeight="1" x14ac:dyDescent="0.25">
      <c r="A619" s="2" t="s">
        <v>84</v>
      </c>
      <c r="B619" s="2" t="s">
        <v>428</v>
      </c>
      <c r="C619" s="2" t="s">
        <v>294</v>
      </c>
      <c r="D619" s="2" t="s">
        <v>295</v>
      </c>
      <c r="E619" s="2" t="s">
        <v>244</v>
      </c>
      <c r="F619" s="2"/>
      <c r="G619" s="4">
        <v>8.8928204999999996E-2</v>
      </c>
      <c r="H619" s="3">
        <v>21.48</v>
      </c>
      <c r="I619" s="3">
        <v>-1.91</v>
      </c>
      <c r="J619" s="3">
        <v>0.01</v>
      </c>
    </row>
    <row r="620" spans="1:10" ht="15" customHeight="1" x14ac:dyDescent="0.25">
      <c r="A620" s="2" t="s">
        <v>84</v>
      </c>
      <c r="B620" s="2" t="s">
        <v>428</v>
      </c>
      <c r="C620" s="2" t="s">
        <v>294</v>
      </c>
      <c r="D620" s="2" t="s">
        <v>295</v>
      </c>
      <c r="E620" s="2" t="s">
        <v>213</v>
      </c>
      <c r="F620" s="2"/>
      <c r="G620" s="4">
        <v>1.663648217</v>
      </c>
      <c r="H620" s="3">
        <v>27.61</v>
      </c>
      <c r="I620" s="3">
        <v>-45.93</v>
      </c>
      <c r="J620" s="3">
        <v>7.0000000000000007E-2</v>
      </c>
    </row>
    <row r="621" spans="1:10" ht="15" customHeight="1" x14ac:dyDescent="0.25">
      <c r="A621" s="2" t="s">
        <v>84</v>
      </c>
      <c r="B621" s="2" t="s">
        <v>428</v>
      </c>
      <c r="C621" s="2" t="s">
        <v>294</v>
      </c>
      <c r="D621" s="2" t="s">
        <v>295</v>
      </c>
      <c r="E621" s="2" t="s">
        <v>190</v>
      </c>
      <c r="F621" s="2"/>
      <c r="G621" s="4">
        <v>4</v>
      </c>
      <c r="H621" s="3">
        <v>24.58</v>
      </c>
      <c r="I621" s="3">
        <v>-98.33</v>
      </c>
      <c r="J621" s="3">
        <v>0.16</v>
      </c>
    </row>
    <row r="622" spans="1:10" ht="15" customHeight="1" x14ac:dyDescent="0.25">
      <c r="A622" s="2" t="s">
        <v>84</v>
      </c>
      <c r="B622" s="2" t="s">
        <v>428</v>
      </c>
      <c r="C622" s="2" t="s">
        <v>294</v>
      </c>
      <c r="D622" s="2" t="s">
        <v>295</v>
      </c>
      <c r="E622" s="2" t="s">
        <v>136</v>
      </c>
      <c r="F622" s="2"/>
      <c r="G622" s="4">
        <v>1.194273865</v>
      </c>
      <c r="H622" s="3">
        <v>25.08</v>
      </c>
      <c r="I622" s="3">
        <v>-29.95</v>
      </c>
      <c r="J622" s="3">
        <v>0.05</v>
      </c>
    </row>
    <row r="623" spans="1:10" ht="15" customHeight="1" x14ac:dyDescent="0.25">
      <c r="A623" s="2" t="s">
        <v>86</v>
      </c>
      <c r="B623" s="2" t="s">
        <v>429</v>
      </c>
      <c r="C623" s="2" t="s">
        <v>333</v>
      </c>
      <c r="D623" s="2"/>
      <c r="E623" s="2" t="s">
        <v>140</v>
      </c>
      <c r="F623" s="2" t="s">
        <v>430</v>
      </c>
      <c r="G623" s="4">
        <v>-107.59141935300001</v>
      </c>
      <c r="H623" s="3">
        <v>13.04</v>
      </c>
      <c r="I623" s="3"/>
      <c r="J623" s="3"/>
    </row>
    <row r="624" spans="1:10" ht="15" customHeight="1" x14ac:dyDescent="0.25">
      <c r="A624" s="2" t="s">
        <v>86</v>
      </c>
      <c r="B624" s="2" t="s">
        <v>429</v>
      </c>
      <c r="C624" s="2" t="s">
        <v>333</v>
      </c>
      <c r="D624" s="2"/>
      <c r="E624" s="2" t="s">
        <v>140</v>
      </c>
      <c r="F624" s="2" t="s">
        <v>431</v>
      </c>
      <c r="G624" s="4">
        <v>10.759141935000001</v>
      </c>
      <c r="H624" s="3">
        <v>130.37</v>
      </c>
      <c r="I624" s="3"/>
      <c r="J624" s="3"/>
    </row>
    <row r="625" spans="1:10" ht="15" customHeight="1" x14ac:dyDescent="0.25">
      <c r="A625" s="2" t="s">
        <v>86</v>
      </c>
      <c r="B625" s="2" t="s">
        <v>429</v>
      </c>
      <c r="C625" s="2" t="s">
        <v>294</v>
      </c>
      <c r="D625" s="2" t="s">
        <v>295</v>
      </c>
      <c r="E625" s="2" t="s">
        <v>233</v>
      </c>
      <c r="F625" s="2"/>
      <c r="G625" s="4">
        <v>1.480618311</v>
      </c>
      <c r="H625" s="3">
        <v>42.05</v>
      </c>
      <c r="I625" s="3">
        <v>-62.26</v>
      </c>
      <c r="J625" s="3"/>
    </row>
    <row r="626" spans="1:10" ht="15" customHeight="1" x14ac:dyDescent="0.25">
      <c r="A626" s="2" t="s">
        <v>86</v>
      </c>
      <c r="B626" s="2" t="s">
        <v>432</v>
      </c>
      <c r="C626" s="2" t="s">
        <v>294</v>
      </c>
      <c r="D626" s="2" t="s">
        <v>295</v>
      </c>
      <c r="E626" s="2" t="s">
        <v>247</v>
      </c>
      <c r="F626" s="2"/>
      <c r="G626" s="4">
        <v>11</v>
      </c>
      <c r="H626" s="3">
        <v>32.840000000000003</v>
      </c>
      <c r="I626" s="3">
        <v>-361.2</v>
      </c>
      <c r="J626" s="3"/>
    </row>
    <row r="627" spans="1:10" ht="15" customHeight="1" x14ac:dyDescent="0.25">
      <c r="A627" s="2" t="s">
        <v>86</v>
      </c>
      <c r="B627" s="2" t="s">
        <v>432</v>
      </c>
      <c r="C627" s="2" t="s">
        <v>294</v>
      </c>
      <c r="D627" s="2" t="s">
        <v>295</v>
      </c>
      <c r="E627" s="2" t="s">
        <v>247</v>
      </c>
      <c r="F627" s="2"/>
      <c r="G627" s="4">
        <v>1.1816047279999999</v>
      </c>
      <c r="H627" s="3">
        <v>32.840000000000003</v>
      </c>
      <c r="I627" s="3">
        <v>-38.799999999999997</v>
      </c>
      <c r="J627" s="3"/>
    </row>
    <row r="628" spans="1:10" ht="15" customHeight="1" x14ac:dyDescent="0.25">
      <c r="A628" s="2" t="s">
        <v>86</v>
      </c>
      <c r="B628" s="2" t="s">
        <v>433</v>
      </c>
      <c r="C628" s="2" t="s">
        <v>294</v>
      </c>
      <c r="D628" s="2" t="s">
        <v>295</v>
      </c>
      <c r="E628" s="2" t="s">
        <v>192</v>
      </c>
      <c r="F628" s="2"/>
      <c r="G628" s="4">
        <v>1</v>
      </c>
      <c r="H628" s="3">
        <v>50.83</v>
      </c>
      <c r="I628" s="3">
        <v>-50.83</v>
      </c>
      <c r="J628" s="3"/>
    </row>
    <row r="629" spans="1:10" ht="15" customHeight="1" x14ac:dyDescent="0.25">
      <c r="A629" s="2" t="s">
        <v>86</v>
      </c>
      <c r="B629" s="2" t="s">
        <v>433</v>
      </c>
      <c r="C629" s="2" t="s">
        <v>294</v>
      </c>
      <c r="D629" s="2" t="s">
        <v>295</v>
      </c>
      <c r="E629" s="2" t="s">
        <v>192</v>
      </c>
      <c r="F629" s="2"/>
      <c r="G629" s="4">
        <v>1.9464102670000001</v>
      </c>
      <c r="H629" s="3">
        <v>50.83</v>
      </c>
      <c r="I629" s="3">
        <v>-98.93</v>
      </c>
      <c r="J629" s="3">
        <v>0.24</v>
      </c>
    </row>
    <row r="630" spans="1:10" ht="15" customHeight="1" x14ac:dyDescent="0.25">
      <c r="A630" s="2" t="s">
        <v>86</v>
      </c>
      <c r="B630" s="2" t="s">
        <v>433</v>
      </c>
      <c r="C630" s="2" t="s">
        <v>294</v>
      </c>
      <c r="D630" s="2" t="s">
        <v>295</v>
      </c>
      <c r="E630" s="2" t="s">
        <v>240</v>
      </c>
      <c r="F630" s="2"/>
      <c r="G630" s="4">
        <v>1.2023656599999999</v>
      </c>
      <c r="H630" s="3">
        <v>74.739999999999995</v>
      </c>
      <c r="I630" s="3">
        <v>-89.86</v>
      </c>
      <c r="J630" s="3">
        <v>0.14000000000000001</v>
      </c>
    </row>
    <row r="631" spans="1:10" ht="15" customHeight="1" x14ac:dyDescent="0.25">
      <c r="A631" s="2" t="s">
        <v>86</v>
      </c>
      <c r="B631" s="2" t="s">
        <v>433</v>
      </c>
      <c r="C631" s="2" t="s">
        <v>294</v>
      </c>
      <c r="D631" s="2" t="s">
        <v>295</v>
      </c>
      <c r="E631" s="2" t="s">
        <v>127</v>
      </c>
      <c r="F631" s="2"/>
      <c r="G631" s="4">
        <v>1.29378043</v>
      </c>
      <c r="H631" s="3">
        <v>25.47</v>
      </c>
      <c r="I631" s="3">
        <v>-32.950000000000003</v>
      </c>
      <c r="J631" s="3">
        <v>0.05</v>
      </c>
    </row>
    <row r="632" spans="1:10" ht="15" customHeight="1" x14ac:dyDescent="0.25">
      <c r="A632" s="2" t="s">
        <v>86</v>
      </c>
      <c r="B632" s="2" t="s">
        <v>433</v>
      </c>
      <c r="C632" s="2" t="s">
        <v>294</v>
      </c>
      <c r="D632" s="2" t="s">
        <v>295</v>
      </c>
      <c r="E632" s="2" t="s">
        <v>218</v>
      </c>
      <c r="F632" s="2"/>
      <c r="G632" s="4">
        <v>1.587897828</v>
      </c>
      <c r="H632" s="3">
        <v>58.57</v>
      </c>
      <c r="I632" s="3">
        <v>-93</v>
      </c>
      <c r="J632" s="3"/>
    </row>
    <row r="633" spans="1:10" ht="15" customHeight="1" x14ac:dyDescent="0.25">
      <c r="A633" s="2" t="s">
        <v>86</v>
      </c>
      <c r="B633" s="2" t="s">
        <v>433</v>
      </c>
      <c r="C633" s="2" t="s">
        <v>294</v>
      </c>
      <c r="D633" s="2" t="s">
        <v>295</v>
      </c>
      <c r="E633" s="2" t="s">
        <v>129</v>
      </c>
      <c r="F633" s="2"/>
      <c r="G633" s="4">
        <v>3</v>
      </c>
      <c r="H633" s="3">
        <v>49.66</v>
      </c>
      <c r="I633" s="3">
        <v>-148.97999999999999</v>
      </c>
      <c r="J633" s="3">
        <v>0.24</v>
      </c>
    </row>
    <row r="634" spans="1:10" ht="15" customHeight="1" x14ac:dyDescent="0.25">
      <c r="A634" s="2" t="s">
        <v>86</v>
      </c>
      <c r="B634" s="2" t="s">
        <v>434</v>
      </c>
      <c r="C634" s="2" t="s">
        <v>294</v>
      </c>
      <c r="D634" s="2" t="s">
        <v>295</v>
      </c>
      <c r="E634" s="2" t="s">
        <v>183</v>
      </c>
      <c r="F634" s="2"/>
      <c r="G634" s="4">
        <v>1</v>
      </c>
      <c r="H634" s="3">
        <v>26.52</v>
      </c>
      <c r="I634" s="3">
        <v>-26.52</v>
      </c>
      <c r="J634" s="3"/>
    </row>
    <row r="635" spans="1:10" ht="15" customHeight="1" x14ac:dyDescent="0.25">
      <c r="A635" s="2" t="s">
        <v>86</v>
      </c>
      <c r="B635" s="2" t="s">
        <v>434</v>
      </c>
      <c r="C635" s="2" t="s">
        <v>294</v>
      </c>
      <c r="D635" s="2" t="s">
        <v>295</v>
      </c>
      <c r="E635" s="2" t="s">
        <v>183</v>
      </c>
      <c r="F635" s="2"/>
      <c r="G635" s="4">
        <v>1.3719914609999999</v>
      </c>
      <c r="H635" s="3">
        <v>26.52</v>
      </c>
      <c r="I635" s="3">
        <v>-36.380000000000003</v>
      </c>
      <c r="J635" s="3">
        <v>0.1</v>
      </c>
    </row>
    <row r="636" spans="1:10" ht="15" customHeight="1" x14ac:dyDescent="0.25">
      <c r="A636" s="2" t="s">
        <v>86</v>
      </c>
      <c r="B636" s="2" t="s">
        <v>434</v>
      </c>
      <c r="C636" s="2" t="s">
        <v>294</v>
      </c>
      <c r="D636" s="2" t="s">
        <v>295</v>
      </c>
      <c r="E636" s="2" t="s">
        <v>158</v>
      </c>
      <c r="F636" s="2"/>
      <c r="G636" s="4">
        <v>1</v>
      </c>
      <c r="H636" s="3">
        <v>12.98</v>
      </c>
      <c r="I636" s="3">
        <v>-12.98</v>
      </c>
      <c r="J636" s="3"/>
    </row>
    <row r="637" spans="1:10" ht="15" customHeight="1" x14ac:dyDescent="0.25">
      <c r="A637" s="2" t="s">
        <v>86</v>
      </c>
      <c r="B637" s="2" t="s">
        <v>434</v>
      </c>
      <c r="C637" s="2" t="s">
        <v>294</v>
      </c>
      <c r="D637" s="2" t="s">
        <v>295</v>
      </c>
      <c r="E637" s="2" t="s">
        <v>158</v>
      </c>
      <c r="F637" s="2"/>
      <c r="G637" s="4">
        <v>1.384448262</v>
      </c>
      <c r="H637" s="3">
        <v>12.98</v>
      </c>
      <c r="I637" s="3">
        <v>-17.97</v>
      </c>
      <c r="J637" s="3">
        <v>0.05</v>
      </c>
    </row>
    <row r="638" spans="1:10" ht="15" customHeight="1" x14ac:dyDescent="0.25">
      <c r="A638" s="2" t="s">
        <v>86</v>
      </c>
      <c r="B638" s="2" t="s">
        <v>434</v>
      </c>
      <c r="C638" s="2" t="s">
        <v>294</v>
      </c>
      <c r="D638" s="2" t="s">
        <v>295</v>
      </c>
      <c r="E638" s="2" t="s">
        <v>166</v>
      </c>
      <c r="F638" s="2"/>
      <c r="G638" s="4">
        <v>0.92148159699999999</v>
      </c>
      <c r="H638" s="3">
        <v>50.92</v>
      </c>
      <c r="I638" s="3">
        <v>-46.92</v>
      </c>
      <c r="J638" s="3">
        <v>0.08</v>
      </c>
    </row>
    <row r="639" spans="1:10" ht="15" customHeight="1" x14ac:dyDescent="0.25">
      <c r="A639" s="2" t="s">
        <v>86</v>
      </c>
      <c r="B639" s="2" t="s">
        <v>434</v>
      </c>
      <c r="C639" s="2" t="s">
        <v>294</v>
      </c>
      <c r="D639" s="2" t="s">
        <v>295</v>
      </c>
      <c r="E639" s="2" t="s">
        <v>132</v>
      </c>
      <c r="F639" s="2"/>
      <c r="G639" s="4">
        <v>2</v>
      </c>
      <c r="H639" s="3">
        <v>15.03</v>
      </c>
      <c r="I639" s="3">
        <v>-30.06</v>
      </c>
      <c r="J639" s="3">
        <v>0.05</v>
      </c>
    </row>
    <row r="640" spans="1:10" ht="15" customHeight="1" x14ac:dyDescent="0.25">
      <c r="A640" s="2" t="s">
        <v>86</v>
      </c>
      <c r="B640" s="2" t="s">
        <v>434</v>
      </c>
      <c r="C640" s="2" t="s">
        <v>294</v>
      </c>
      <c r="D640" s="2" t="s">
        <v>295</v>
      </c>
      <c r="E640" s="2" t="s">
        <v>143</v>
      </c>
      <c r="F640" s="2"/>
      <c r="G640" s="4">
        <v>1.245100756</v>
      </c>
      <c r="H640" s="3">
        <v>50.52</v>
      </c>
      <c r="I640" s="3">
        <v>-62.9</v>
      </c>
      <c r="J640" s="3">
        <v>0.1</v>
      </c>
    </row>
    <row r="641" spans="1:10" ht="15" customHeight="1" x14ac:dyDescent="0.25">
      <c r="A641" s="2" t="s">
        <v>86</v>
      </c>
      <c r="B641" s="2" t="s">
        <v>434</v>
      </c>
      <c r="C641" s="2" t="s">
        <v>294</v>
      </c>
      <c r="D641" s="2" t="s">
        <v>295</v>
      </c>
      <c r="E641" s="2" t="s">
        <v>185</v>
      </c>
      <c r="F641" s="2"/>
      <c r="G641" s="4">
        <v>1.317332663</v>
      </c>
      <c r="H641" s="3">
        <v>47.75</v>
      </c>
      <c r="I641" s="3">
        <v>-62.9</v>
      </c>
      <c r="J641" s="3">
        <v>0.1</v>
      </c>
    </row>
    <row r="642" spans="1:10" ht="15" customHeight="1" x14ac:dyDescent="0.25">
      <c r="A642" s="2" t="s">
        <v>86</v>
      </c>
      <c r="B642" s="2" t="s">
        <v>434</v>
      </c>
      <c r="C642" s="2" t="s">
        <v>294</v>
      </c>
      <c r="D642" s="2" t="s">
        <v>295</v>
      </c>
      <c r="E642" s="2" t="s">
        <v>152</v>
      </c>
      <c r="F642" s="2"/>
      <c r="G642" s="4">
        <v>1.3161290320000001</v>
      </c>
      <c r="H642" s="3">
        <v>35.65</v>
      </c>
      <c r="I642" s="3">
        <v>-46.92</v>
      </c>
      <c r="J642" s="3">
        <v>0.08</v>
      </c>
    </row>
    <row r="643" spans="1:10" ht="15" customHeight="1" x14ac:dyDescent="0.25">
      <c r="A643" s="2" t="s">
        <v>86</v>
      </c>
      <c r="B643" s="2" t="s">
        <v>434</v>
      </c>
      <c r="C643" s="2" t="s">
        <v>333</v>
      </c>
      <c r="D643" s="2"/>
      <c r="E643" s="2" t="s">
        <v>152</v>
      </c>
      <c r="F643" s="2" t="s">
        <v>435</v>
      </c>
      <c r="G643" s="4">
        <v>10.539354208000001</v>
      </c>
      <c r="H643" s="3">
        <v>108.63</v>
      </c>
      <c r="I643" s="3"/>
      <c r="J643" s="3"/>
    </row>
    <row r="644" spans="1:10" ht="15" customHeight="1" x14ac:dyDescent="0.25">
      <c r="A644" s="2" t="s">
        <v>86</v>
      </c>
      <c r="B644" s="2" t="s">
        <v>434</v>
      </c>
      <c r="C644" s="2" t="s">
        <v>333</v>
      </c>
      <c r="D644" s="2"/>
      <c r="E644" s="2" t="s">
        <v>152</v>
      </c>
      <c r="F644" s="2" t="s">
        <v>436</v>
      </c>
      <c r="G644" s="4">
        <v>-52.696771042000002</v>
      </c>
      <c r="H644" s="3">
        <v>21.73</v>
      </c>
      <c r="I644" s="3"/>
      <c r="J644" s="3"/>
    </row>
    <row r="645" spans="1:10" ht="15" customHeight="1" x14ac:dyDescent="0.25">
      <c r="A645" s="2" t="s">
        <v>86</v>
      </c>
      <c r="B645" s="2" t="s">
        <v>434</v>
      </c>
      <c r="C645" s="2" t="s">
        <v>294</v>
      </c>
      <c r="D645" s="2" t="s">
        <v>295</v>
      </c>
      <c r="E645" s="2" t="s">
        <v>145</v>
      </c>
      <c r="F645" s="2"/>
      <c r="G645" s="4">
        <v>2</v>
      </c>
      <c r="H645" s="3">
        <v>14.76</v>
      </c>
      <c r="I645" s="3">
        <v>-29.51</v>
      </c>
      <c r="J645" s="3"/>
    </row>
    <row r="646" spans="1:10" ht="15" customHeight="1" x14ac:dyDescent="0.25">
      <c r="A646" s="2" t="s">
        <v>86</v>
      </c>
      <c r="B646" s="2" t="s">
        <v>434</v>
      </c>
      <c r="C646" s="2" t="s">
        <v>294</v>
      </c>
      <c r="D646" s="2" t="s">
        <v>295</v>
      </c>
      <c r="E646" s="2" t="s">
        <v>145</v>
      </c>
      <c r="F646" s="2"/>
      <c r="G646" s="4">
        <v>1.17985904</v>
      </c>
      <c r="H646" s="3">
        <v>14.76</v>
      </c>
      <c r="I646" s="3">
        <v>-17.41</v>
      </c>
      <c r="J646" s="3">
        <v>0.08</v>
      </c>
    </row>
    <row r="647" spans="1:10" ht="15" customHeight="1" x14ac:dyDescent="0.25">
      <c r="A647" s="2" t="s">
        <v>86</v>
      </c>
      <c r="B647" s="2" t="s">
        <v>434</v>
      </c>
      <c r="C647" s="2" t="s">
        <v>294</v>
      </c>
      <c r="D647" s="2" t="s">
        <v>295</v>
      </c>
      <c r="E647" s="2" t="s">
        <v>194</v>
      </c>
      <c r="F647" s="2"/>
      <c r="G647" s="4">
        <v>1</v>
      </c>
      <c r="H647" s="3">
        <v>54.97</v>
      </c>
      <c r="I647" s="3">
        <v>-54.97</v>
      </c>
      <c r="J647" s="3">
        <v>0.09</v>
      </c>
    </row>
    <row r="648" spans="1:10" ht="15" customHeight="1" x14ac:dyDescent="0.25">
      <c r="A648" s="2" t="s">
        <v>86</v>
      </c>
      <c r="B648" s="2" t="s">
        <v>434</v>
      </c>
      <c r="C648" s="2" t="s">
        <v>294</v>
      </c>
      <c r="D648" s="2" t="s">
        <v>295</v>
      </c>
      <c r="E648" s="2" t="s">
        <v>162</v>
      </c>
      <c r="F648" s="2"/>
      <c r="G648" s="4">
        <v>2</v>
      </c>
      <c r="H648" s="3">
        <v>25.32</v>
      </c>
      <c r="I648" s="3">
        <v>-50.63</v>
      </c>
      <c r="J648" s="3"/>
    </row>
    <row r="649" spans="1:10" ht="15" customHeight="1" x14ac:dyDescent="0.25">
      <c r="A649" s="2" t="s">
        <v>86</v>
      </c>
      <c r="B649" s="2" t="s">
        <v>434</v>
      </c>
      <c r="C649" s="2" t="s">
        <v>294</v>
      </c>
      <c r="D649" s="2" t="s">
        <v>295</v>
      </c>
      <c r="E649" s="2" t="s">
        <v>162</v>
      </c>
      <c r="F649" s="2"/>
      <c r="G649" s="4">
        <v>1.7072881689999999</v>
      </c>
      <c r="H649" s="3">
        <v>25.32</v>
      </c>
      <c r="I649" s="3">
        <v>-43.22</v>
      </c>
      <c r="J649" s="3">
        <v>0.15</v>
      </c>
    </row>
    <row r="650" spans="1:10" ht="15" customHeight="1" x14ac:dyDescent="0.25">
      <c r="A650" s="2" t="s">
        <v>86</v>
      </c>
      <c r="B650" s="2" t="s">
        <v>437</v>
      </c>
      <c r="C650" s="2" t="s">
        <v>294</v>
      </c>
      <c r="D650" s="2" t="s">
        <v>295</v>
      </c>
      <c r="E650" s="2" t="s">
        <v>215</v>
      </c>
      <c r="F650" s="2"/>
      <c r="G650" s="4">
        <v>1</v>
      </c>
      <c r="H650" s="3">
        <v>27.44</v>
      </c>
      <c r="I650" s="3">
        <v>-27.44</v>
      </c>
      <c r="J650" s="3">
        <v>0.04</v>
      </c>
    </row>
    <row r="651" spans="1:10" ht="15" customHeight="1" x14ac:dyDescent="0.25">
      <c r="A651" s="2" t="s">
        <v>86</v>
      </c>
      <c r="B651" s="2" t="s">
        <v>437</v>
      </c>
      <c r="C651" s="2" t="s">
        <v>294</v>
      </c>
      <c r="D651" s="2" t="s">
        <v>295</v>
      </c>
      <c r="E651" s="2" t="s">
        <v>179</v>
      </c>
      <c r="F651" s="2"/>
      <c r="G651" s="4">
        <v>1</v>
      </c>
      <c r="H651" s="3">
        <v>23.76</v>
      </c>
      <c r="I651" s="3">
        <v>-23.76</v>
      </c>
      <c r="J651" s="3">
        <v>0.04</v>
      </c>
    </row>
    <row r="652" spans="1:10" ht="15" customHeight="1" x14ac:dyDescent="0.25">
      <c r="A652" s="2" t="s">
        <v>86</v>
      </c>
      <c r="B652" s="2" t="s">
        <v>438</v>
      </c>
      <c r="C652" s="2" t="s">
        <v>294</v>
      </c>
      <c r="D652" s="2" t="s">
        <v>295</v>
      </c>
      <c r="E652" s="2" t="s">
        <v>225</v>
      </c>
      <c r="F652" s="2"/>
      <c r="G652" s="4">
        <v>1</v>
      </c>
      <c r="H652" s="3">
        <v>30.85</v>
      </c>
      <c r="I652" s="3">
        <v>-30.85</v>
      </c>
      <c r="J652" s="3"/>
    </row>
    <row r="653" spans="1:10" ht="15" customHeight="1" x14ac:dyDescent="0.25">
      <c r="A653" s="2" t="s">
        <v>86</v>
      </c>
      <c r="B653" s="2" t="s">
        <v>438</v>
      </c>
      <c r="C653" s="2" t="s">
        <v>294</v>
      </c>
      <c r="D653" s="2" t="s">
        <v>295</v>
      </c>
      <c r="E653" s="2" t="s">
        <v>225</v>
      </c>
      <c r="F653" s="2"/>
      <c r="G653" s="4">
        <v>1.427233151</v>
      </c>
      <c r="H653" s="3">
        <v>30.85</v>
      </c>
      <c r="I653" s="3">
        <v>-44.03</v>
      </c>
      <c r="J653" s="3">
        <v>0.12</v>
      </c>
    </row>
    <row r="654" spans="1:10" ht="15" customHeight="1" x14ac:dyDescent="0.25">
      <c r="A654" s="2" t="s">
        <v>86</v>
      </c>
      <c r="B654" s="2" t="s">
        <v>438</v>
      </c>
      <c r="C654" s="2" t="s">
        <v>294</v>
      </c>
      <c r="D654" s="2" t="s">
        <v>295</v>
      </c>
      <c r="E654" s="2" t="s">
        <v>154</v>
      </c>
      <c r="F654" s="2"/>
      <c r="G654" s="4">
        <v>1.2359411469999999</v>
      </c>
      <c r="H654" s="3">
        <v>56.55</v>
      </c>
      <c r="I654" s="3">
        <v>-69.89</v>
      </c>
      <c r="J654" s="3">
        <v>0.11</v>
      </c>
    </row>
    <row r="655" spans="1:10" ht="15" customHeight="1" x14ac:dyDescent="0.25">
      <c r="A655" s="2" t="s">
        <v>86</v>
      </c>
      <c r="B655" s="2" t="s">
        <v>438</v>
      </c>
      <c r="C655" s="2" t="s">
        <v>294</v>
      </c>
      <c r="D655" s="2" t="s">
        <v>295</v>
      </c>
      <c r="E655" s="2" t="s">
        <v>213</v>
      </c>
      <c r="F655" s="2"/>
      <c r="G655" s="4">
        <v>1</v>
      </c>
      <c r="H655" s="3">
        <v>27.57</v>
      </c>
      <c r="I655" s="3">
        <v>-27.57</v>
      </c>
      <c r="J655" s="3"/>
    </row>
    <row r="656" spans="1:10" ht="15" customHeight="1" x14ac:dyDescent="0.25">
      <c r="A656" s="2" t="s">
        <v>86</v>
      </c>
      <c r="B656" s="2" t="s">
        <v>438</v>
      </c>
      <c r="C656" s="2" t="s">
        <v>294</v>
      </c>
      <c r="D656" s="2" t="s">
        <v>295</v>
      </c>
      <c r="E656" s="2" t="s">
        <v>213</v>
      </c>
      <c r="F656" s="2"/>
      <c r="G656" s="4">
        <v>1.1727875560000001</v>
      </c>
      <c r="H656" s="3">
        <v>27.57</v>
      </c>
      <c r="I656" s="3">
        <v>-32.33</v>
      </c>
      <c r="J656" s="3">
        <v>0.1</v>
      </c>
    </row>
    <row r="657" spans="1:10" ht="15" customHeight="1" x14ac:dyDescent="0.25">
      <c r="A657" s="2" t="s">
        <v>86</v>
      </c>
      <c r="B657" s="2" t="s">
        <v>438</v>
      </c>
      <c r="C657" s="2" t="s">
        <v>294</v>
      </c>
      <c r="D657" s="2" t="s">
        <v>295</v>
      </c>
      <c r="E657" s="2" t="s">
        <v>196</v>
      </c>
      <c r="F657" s="2"/>
      <c r="G657" s="4">
        <v>1</v>
      </c>
      <c r="H657" s="3">
        <v>24.11</v>
      </c>
      <c r="I657" s="3">
        <v>-24.11</v>
      </c>
      <c r="J657" s="3"/>
    </row>
    <row r="658" spans="1:10" ht="15" customHeight="1" x14ac:dyDescent="0.25">
      <c r="A658" s="2" t="s">
        <v>86</v>
      </c>
      <c r="B658" s="2" t="s">
        <v>438</v>
      </c>
      <c r="C658" s="2" t="s">
        <v>294</v>
      </c>
      <c r="D658" s="2" t="s">
        <v>295</v>
      </c>
      <c r="E658" s="2" t="s">
        <v>196</v>
      </c>
      <c r="F658" s="2"/>
      <c r="G658" s="4">
        <v>1.8988444339999999</v>
      </c>
      <c r="H658" s="3">
        <v>24.11</v>
      </c>
      <c r="I658" s="3">
        <v>-45.78</v>
      </c>
      <c r="J658" s="3">
        <v>0.11</v>
      </c>
    </row>
    <row r="659" spans="1:10" ht="15" customHeight="1" x14ac:dyDescent="0.25">
      <c r="A659" s="2" t="s">
        <v>86</v>
      </c>
      <c r="B659" s="2" t="s">
        <v>439</v>
      </c>
      <c r="C659" s="2" t="s">
        <v>294</v>
      </c>
      <c r="D659" s="2" t="s">
        <v>295</v>
      </c>
      <c r="E659" s="2" t="s">
        <v>170</v>
      </c>
      <c r="F659" s="2"/>
      <c r="G659" s="4">
        <v>1.6947462230000001</v>
      </c>
      <c r="H659" s="3">
        <v>47.13</v>
      </c>
      <c r="I659" s="3">
        <v>-79.87</v>
      </c>
      <c r="J659" s="3">
        <v>0.13</v>
      </c>
    </row>
    <row r="660" spans="1:10" ht="15" customHeight="1" x14ac:dyDescent="0.25">
      <c r="A660" s="2" t="s">
        <v>86</v>
      </c>
      <c r="B660" s="2" t="s">
        <v>439</v>
      </c>
      <c r="C660" s="2" t="s">
        <v>294</v>
      </c>
      <c r="D660" s="2" t="s">
        <v>295</v>
      </c>
      <c r="E660" s="2" t="s">
        <v>134</v>
      </c>
      <c r="F660" s="2"/>
      <c r="G660" s="4">
        <v>1.953968999</v>
      </c>
      <c r="H660" s="3">
        <v>25.55</v>
      </c>
      <c r="I660" s="3">
        <v>-49.92</v>
      </c>
      <c r="J660" s="3">
        <v>0.08</v>
      </c>
    </row>
    <row r="661" spans="1:10" ht="15" customHeight="1" x14ac:dyDescent="0.25">
      <c r="A661" s="2" t="s">
        <v>86</v>
      </c>
      <c r="B661" s="2" t="s">
        <v>439</v>
      </c>
      <c r="C661" s="2" t="s">
        <v>294</v>
      </c>
      <c r="D661" s="2" t="s">
        <v>295</v>
      </c>
      <c r="E661" s="2" t="s">
        <v>136</v>
      </c>
      <c r="F661" s="2"/>
      <c r="G661" s="4">
        <v>1.989795918</v>
      </c>
      <c r="H661" s="3">
        <v>25.09</v>
      </c>
      <c r="I661" s="3">
        <v>-49.92</v>
      </c>
      <c r="J661" s="3">
        <v>0.08</v>
      </c>
    </row>
    <row r="662" spans="1:10" ht="15" customHeight="1" x14ac:dyDescent="0.25">
      <c r="A662" s="2" t="s">
        <v>88</v>
      </c>
      <c r="B662" s="2" t="s">
        <v>440</v>
      </c>
      <c r="C662" s="2" t="s">
        <v>294</v>
      </c>
      <c r="D662" s="2" t="s">
        <v>295</v>
      </c>
      <c r="E662" s="2" t="s">
        <v>121</v>
      </c>
      <c r="F662" s="2"/>
      <c r="G662" s="4">
        <v>2</v>
      </c>
      <c r="H662" s="3">
        <v>30.97</v>
      </c>
      <c r="I662" s="3">
        <v>-61.93</v>
      </c>
      <c r="J662" s="3"/>
    </row>
    <row r="663" spans="1:10" ht="15" customHeight="1" x14ac:dyDescent="0.25">
      <c r="A663" s="2" t="s">
        <v>88</v>
      </c>
      <c r="B663" s="2" t="s">
        <v>440</v>
      </c>
      <c r="C663" s="2" t="s">
        <v>294</v>
      </c>
      <c r="D663" s="2" t="s">
        <v>295</v>
      </c>
      <c r="E663" s="2" t="s">
        <v>121</v>
      </c>
      <c r="F663" s="2"/>
      <c r="G663" s="4">
        <v>1.229373203</v>
      </c>
      <c r="H663" s="3">
        <v>30.97</v>
      </c>
      <c r="I663" s="3">
        <v>-38.07</v>
      </c>
      <c r="J663" s="3"/>
    </row>
    <row r="664" spans="1:10" ht="15" customHeight="1" x14ac:dyDescent="0.25">
      <c r="A664" s="2" t="s">
        <v>88</v>
      </c>
      <c r="B664" s="2" t="s">
        <v>440</v>
      </c>
      <c r="C664" s="2" t="s">
        <v>294</v>
      </c>
      <c r="D664" s="2" t="s">
        <v>295</v>
      </c>
      <c r="E664" s="2" t="s">
        <v>244</v>
      </c>
      <c r="F664" s="2"/>
      <c r="G664" s="4">
        <v>1</v>
      </c>
      <c r="H664" s="3">
        <v>21.64</v>
      </c>
      <c r="I664" s="3">
        <v>-21.64</v>
      </c>
      <c r="J664" s="3"/>
    </row>
    <row r="665" spans="1:10" ht="15" customHeight="1" x14ac:dyDescent="0.25">
      <c r="A665" s="2" t="s">
        <v>88</v>
      </c>
      <c r="B665" s="2" t="s">
        <v>440</v>
      </c>
      <c r="C665" s="2" t="s">
        <v>294</v>
      </c>
      <c r="D665" s="2" t="s">
        <v>295</v>
      </c>
      <c r="E665" s="2" t="s">
        <v>244</v>
      </c>
      <c r="F665" s="2"/>
      <c r="G665" s="4">
        <v>1.8650646950000001</v>
      </c>
      <c r="H665" s="3">
        <v>21.64</v>
      </c>
      <c r="I665" s="3">
        <v>-40.36</v>
      </c>
      <c r="J665" s="3"/>
    </row>
    <row r="666" spans="1:10" ht="15" customHeight="1" x14ac:dyDescent="0.25">
      <c r="A666" s="2" t="s">
        <v>88</v>
      </c>
      <c r="B666" s="2" t="s">
        <v>441</v>
      </c>
      <c r="C666" s="2" t="s">
        <v>294</v>
      </c>
      <c r="D666" s="2" t="s">
        <v>295</v>
      </c>
      <c r="E666" s="2" t="s">
        <v>250</v>
      </c>
      <c r="F666" s="2"/>
      <c r="G666" s="4">
        <v>0.63811627999999998</v>
      </c>
      <c r="H666" s="3">
        <v>250.74</v>
      </c>
      <c r="I666" s="3">
        <v>-160</v>
      </c>
      <c r="J666" s="3"/>
    </row>
    <row r="667" spans="1:10" ht="15" customHeight="1" x14ac:dyDescent="0.25">
      <c r="A667" s="2" t="s">
        <v>88</v>
      </c>
      <c r="B667" s="2" t="s">
        <v>442</v>
      </c>
      <c r="C667" s="2" t="s">
        <v>294</v>
      </c>
      <c r="D667" s="2" t="s">
        <v>295</v>
      </c>
      <c r="E667" s="2" t="s">
        <v>183</v>
      </c>
      <c r="F667" s="2"/>
      <c r="G667" s="4">
        <v>1</v>
      </c>
      <c r="H667" s="3">
        <v>26.56</v>
      </c>
      <c r="I667" s="3">
        <v>-26.56</v>
      </c>
      <c r="J667" s="3"/>
    </row>
    <row r="668" spans="1:10" ht="15" customHeight="1" x14ac:dyDescent="0.25">
      <c r="A668" s="2" t="s">
        <v>88</v>
      </c>
      <c r="B668" s="2" t="s">
        <v>442</v>
      </c>
      <c r="C668" s="2" t="s">
        <v>294</v>
      </c>
      <c r="D668" s="2" t="s">
        <v>295</v>
      </c>
      <c r="E668" s="2" t="s">
        <v>183</v>
      </c>
      <c r="F668" s="2"/>
      <c r="G668" s="4">
        <v>1.2554270670000001</v>
      </c>
      <c r="H668" s="3">
        <v>26.56</v>
      </c>
      <c r="I668" s="3">
        <v>-33.340000000000003</v>
      </c>
      <c r="J668" s="3">
        <v>0.1</v>
      </c>
    </row>
    <row r="669" spans="1:10" ht="15" customHeight="1" x14ac:dyDescent="0.25">
      <c r="A669" s="2" t="s">
        <v>88</v>
      </c>
      <c r="B669" s="2" t="s">
        <v>442</v>
      </c>
      <c r="C669" s="2" t="s">
        <v>294</v>
      </c>
      <c r="D669" s="2" t="s">
        <v>295</v>
      </c>
      <c r="E669" s="2" t="s">
        <v>132</v>
      </c>
      <c r="F669" s="2"/>
      <c r="G669" s="4">
        <v>3</v>
      </c>
      <c r="H669" s="3">
        <v>14.59</v>
      </c>
      <c r="I669" s="3">
        <v>-43.77</v>
      </c>
      <c r="J669" s="3">
        <v>7.0000000000000007E-2</v>
      </c>
    </row>
    <row r="670" spans="1:10" ht="15" customHeight="1" x14ac:dyDescent="0.25">
      <c r="A670" s="2" t="s">
        <v>88</v>
      </c>
      <c r="B670" s="2" t="s">
        <v>442</v>
      </c>
      <c r="C670" s="2" t="s">
        <v>294</v>
      </c>
      <c r="D670" s="2" t="s">
        <v>295</v>
      </c>
      <c r="E670" s="2" t="s">
        <v>218</v>
      </c>
      <c r="F670" s="2"/>
      <c r="G670" s="4">
        <v>1.6997514380000001</v>
      </c>
      <c r="H670" s="3">
        <v>58.74</v>
      </c>
      <c r="I670" s="3">
        <v>-99.84</v>
      </c>
      <c r="J670" s="3">
        <v>0.16</v>
      </c>
    </row>
    <row r="671" spans="1:10" ht="15" customHeight="1" x14ac:dyDescent="0.25">
      <c r="A671" s="2" t="s">
        <v>88</v>
      </c>
      <c r="B671" s="2" t="s">
        <v>442</v>
      </c>
      <c r="C671" s="2" t="s">
        <v>294</v>
      </c>
      <c r="D671" s="2" t="s">
        <v>295</v>
      </c>
      <c r="E671" s="2" t="s">
        <v>129</v>
      </c>
      <c r="F671" s="2"/>
      <c r="G671" s="4">
        <v>4</v>
      </c>
      <c r="H671" s="3">
        <v>49.68</v>
      </c>
      <c r="I671" s="3">
        <v>-198.71</v>
      </c>
      <c r="J671" s="3">
        <v>0.32</v>
      </c>
    </row>
    <row r="672" spans="1:10" ht="15" customHeight="1" x14ac:dyDescent="0.25">
      <c r="A672" s="2" t="s">
        <v>88</v>
      </c>
      <c r="B672" s="2" t="s">
        <v>442</v>
      </c>
      <c r="C672" s="2" t="s">
        <v>294</v>
      </c>
      <c r="D672" s="2" t="s">
        <v>295</v>
      </c>
      <c r="E672" s="2" t="s">
        <v>175</v>
      </c>
      <c r="F672" s="2"/>
      <c r="G672" s="4">
        <v>0.84878712300000003</v>
      </c>
      <c r="H672" s="3">
        <v>176.44</v>
      </c>
      <c r="I672" s="3">
        <v>-149.76</v>
      </c>
      <c r="J672" s="3">
        <v>0.24</v>
      </c>
    </row>
    <row r="673" spans="1:10" ht="15" customHeight="1" x14ac:dyDescent="0.25">
      <c r="A673" s="2" t="s">
        <v>88</v>
      </c>
      <c r="B673" s="2" t="s">
        <v>442</v>
      </c>
      <c r="C673" s="2" t="s">
        <v>294</v>
      </c>
      <c r="D673" s="2" t="s">
        <v>295</v>
      </c>
      <c r="E673" s="2" t="s">
        <v>258</v>
      </c>
      <c r="F673" s="2"/>
      <c r="G673" s="4">
        <v>0.448675096</v>
      </c>
      <c r="H673" s="3">
        <v>356.03</v>
      </c>
      <c r="I673" s="3">
        <v>-159.74</v>
      </c>
      <c r="J673" s="3">
        <v>0.26</v>
      </c>
    </row>
    <row r="674" spans="1:10" ht="15" customHeight="1" x14ac:dyDescent="0.25">
      <c r="A674" s="2" t="s">
        <v>88</v>
      </c>
      <c r="B674" s="2" t="s">
        <v>443</v>
      </c>
      <c r="C674" s="2" t="s">
        <v>294</v>
      </c>
      <c r="D674" s="2" t="s">
        <v>295</v>
      </c>
      <c r="E674" s="2" t="s">
        <v>256</v>
      </c>
      <c r="F674" s="2"/>
      <c r="G674" s="4">
        <v>19</v>
      </c>
      <c r="H674" s="3">
        <v>14.92</v>
      </c>
      <c r="I674" s="3">
        <v>-283.39</v>
      </c>
      <c r="J674" s="3"/>
    </row>
    <row r="675" spans="1:10" ht="15" customHeight="1" x14ac:dyDescent="0.25">
      <c r="A675" s="2" t="s">
        <v>88</v>
      </c>
      <c r="B675" s="2" t="s">
        <v>443</v>
      </c>
      <c r="C675" s="2" t="s">
        <v>294</v>
      </c>
      <c r="D675" s="2" t="s">
        <v>295</v>
      </c>
      <c r="E675" s="2" t="s">
        <v>256</v>
      </c>
      <c r="F675" s="2"/>
      <c r="G675" s="4">
        <v>1.081432613</v>
      </c>
      <c r="H675" s="3">
        <v>14.92</v>
      </c>
      <c r="I675" s="3">
        <v>-16.13</v>
      </c>
      <c r="J675" s="3">
        <v>0.48</v>
      </c>
    </row>
    <row r="676" spans="1:10" ht="15" customHeight="1" x14ac:dyDescent="0.25">
      <c r="A676" s="2" t="s">
        <v>88</v>
      </c>
      <c r="B676" s="2" t="s">
        <v>443</v>
      </c>
      <c r="C676" s="2" t="s">
        <v>294</v>
      </c>
      <c r="D676" s="2" t="s">
        <v>295</v>
      </c>
      <c r="E676" s="2" t="s">
        <v>194</v>
      </c>
      <c r="F676" s="2"/>
      <c r="G676" s="4">
        <v>2</v>
      </c>
      <c r="H676" s="3">
        <v>51.41</v>
      </c>
      <c r="I676" s="3">
        <v>-102.81</v>
      </c>
      <c r="J676" s="3">
        <v>0.17</v>
      </c>
    </row>
    <row r="677" spans="1:10" ht="15" customHeight="1" x14ac:dyDescent="0.25">
      <c r="A677" s="2" t="s">
        <v>88</v>
      </c>
      <c r="B677" s="2" t="s">
        <v>443</v>
      </c>
      <c r="C677" s="2" t="s">
        <v>294</v>
      </c>
      <c r="D677" s="2" t="s">
        <v>295</v>
      </c>
      <c r="E677" s="2" t="s">
        <v>196</v>
      </c>
      <c r="F677" s="2"/>
      <c r="G677" s="4">
        <v>3</v>
      </c>
      <c r="H677" s="3">
        <v>24.36</v>
      </c>
      <c r="I677" s="3">
        <v>-73.069999999999993</v>
      </c>
      <c r="J677" s="3"/>
    </row>
    <row r="678" spans="1:10" ht="15" customHeight="1" x14ac:dyDescent="0.25">
      <c r="A678" s="2" t="s">
        <v>88</v>
      </c>
      <c r="B678" s="2" t="s">
        <v>443</v>
      </c>
      <c r="C678" s="2" t="s">
        <v>294</v>
      </c>
      <c r="D678" s="2" t="s">
        <v>295</v>
      </c>
      <c r="E678" s="2" t="s">
        <v>196</v>
      </c>
      <c r="F678" s="2"/>
      <c r="G678" s="4">
        <v>1.099158283</v>
      </c>
      <c r="H678" s="3">
        <v>24.36</v>
      </c>
      <c r="I678" s="3">
        <v>-26.77</v>
      </c>
      <c r="J678" s="3">
        <v>0.16</v>
      </c>
    </row>
    <row r="679" spans="1:10" ht="15" customHeight="1" x14ac:dyDescent="0.25">
      <c r="A679" s="2" t="s">
        <v>88</v>
      </c>
      <c r="B679" s="2" t="s">
        <v>444</v>
      </c>
      <c r="C679" s="2" t="s">
        <v>294</v>
      </c>
      <c r="D679" s="2" t="s">
        <v>295</v>
      </c>
      <c r="E679" s="2" t="s">
        <v>166</v>
      </c>
      <c r="F679" s="2"/>
      <c r="G679" s="4">
        <v>1.568600494</v>
      </c>
      <c r="H679" s="3">
        <v>50.92</v>
      </c>
      <c r="I679" s="3">
        <v>-79.87</v>
      </c>
      <c r="J679" s="3">
        <v>0.13</v>
      </c>
    </row>
    <row r="680" spans="1:10" ht="15" customHeight="1" x14ac:dyDescent="0.25">
      <c r="A680" s="2" t="s">
        <v>88</v>
      </c>
      <c r="B680" s="2" t="s">
        <v>444</v>
      </c>
      <c r="C680" s="2" t="s">
        <v>294</v>
      </c>
      <c r="D680" s="2" t="s">
        <v>295</v>
      </c>
      <c r="E680" s="2" t="s">
        <v>134</v>
      </c>
      <c r="F680" s="2"/>
      <c r="G680" s="4">
        <v>2</v>
      </c>
      <c r="H680" s="3">
        <v>25.6</v>
      </c>
      <c r="I680" s="3">
        <v>-51.19</v>
      </c>
      <c r="J680" s="3"/>
    </row>
    <row r="681" spans="1:10" ht="15" customHeight="1" x14ac:dyDescent="0.25">
      <c r="A681" s="2" t="s">
        <v>88</v>
      </c>
      <c r="B681" s="2" t="s">
        <v>444</v>
      </c>
      <c r="C681" s="2" t="s">
        <v>294</v>
      </c>
      <c r="D681" s="2" t="s">
        <v>295</v>
      </c>
      <c r="E681" s="2" t="s">
        <v>134</v>
      </c>
      <c r="F681" s="2"/>
      <c r="G681" s="4">
        <v>1.9007247359999999</v>
      </c>
      <c r="H681" s="3">
        <v>25.6</v>
      </c>
      <c r="I681" s="3">
        <v>-48.65</v>
      </c>
      <c r="J681" s="3">
        <v>0.16</v>
      </c>
    </row>
    <row r="682" spans="1:10" ht="15" customHeight="1" x14ac:dyDescent="0.25">
      <c r="A682" s="2" t="s">
        <v>88</v>
      </c>
      <c r="B682" s="2" t="s">
        <v>444</v>
      </c>
      <c r="C682" s="2" t="s">
        <v>294</v>
      </c>
      <c r="D682" s="2" t="s">
        <v>295</v>
      </c>
      <c r="E682" s="2" t="s">
        <v>254</v>
      </c>
      <c r="F682" s="2"/>
      <c r="G682" s="4">
        <v>1</v>
      </c>
      <c r="H682" s="3">
        <v>53.41</v>
      </c>
      <c r="I682" s="3">
        <v>-53.41</v>
      </c>
      <c r="J682" s="3"/>
    </row>
    <row r="683" spans="1:10" ht="15" customHeight="1" x14ac:dyDescent="0.25">
      <c r="A683" s="2" t="s">
        <v>88</v>
      </c>
      <c r="B683" s="2" t="s">
        <v>444</v>
      </c>
      <c r="C683" s="2" t="s">
        <v>294</v>
      </c>
      <c r="D683" s="2" t="s">
        <v>295</v>
      </c>
      <c r="E683" s="2" t="s">
        <v>254</v>
      </c>
      <c r="F683" s="2"/>
      <c r="G683" s="4">
        <v>1.4299728899999999</v>
      </c>
      <c r="H683" s="3">
        <v>53.41</v>
      </c>
      <c r="I683" s="3">
        <v>-76.38</v>
      </c>
      <c r="J683" s="3">
        <v>0.21</v>
      </c>
    </row>
    <row r="684" spans="1:10" ht="15" customHeight="1" x14ac:dyDescent="0.25">
      <c r="A684" s="2" t="s">
        <v>88</v>
      </c>
      <c r="B684" s="2" t="s">
        <v>445</v>
      </c>
      <c r="C684" s="2" t="s">
        <v>294</v>
      </c>
      <c r="D684" s="2" t="s">
        <v>295</v>
      </c>
      <c r="E684" s="2" t="s">
        <v>446</v>
      </c>
      <c r="F684" s="2"/>
      <c r="G684" s="4">
        <v>1</v>
      </c>
      <c r="H684" s="3">
        <v>0.79</v>
      </c>
      <c r="I684" s="3">
        <v>-79</v>
      </c>
      <c r="J684" s="3"/>
    </row>
    <row r="685" spans="1:10" ht="15" customHeight="1" x14ac:dyDescent="0.25">
      <c r="A685" s="2" t="s">
        <v>88</v>
      </c>
      <c r="B685" s="2" t="s">
        <v>447</v>
      </c>
      <c r="C685" s="2" t="s">
        <v>294</v>
      </c>
      <c r="D685" s="2" t="s">
        <v>345</v>
      </c>
      <c r="E685" s="2" t="s">
        <v>206</v>
      </c>
      <c r="F685" s="2"/>
      <c r="G685" s="4">
        <v>-1</v>
      </c>
      <c r="H685" s="3">
        <v>14.71</v>
      </c>
      <c r="I685" s="3">
        <v>14.71</v>
      </c>
      <c r="J685" s="3"/>
    </row>
    <row r="686" spans="1:10" ht="15" customHeight="1" x14ac:dyDescent="0.25">
      <c r="A686" s="2" t="s">
        <v>88</v>
      </c>
      <c r="B686" s="2" t="s">
        <v>447</v>
      </c>
      <c r="C686" s="2" t="s">
        <v>294</v>
      </c>
      <c r="D686" s="2" t="s">
        <v>345</v>
      </c>
      <c r="E686" s="2" t="s">
        <v>206</v>
      </c>
      <c r="F686" s="2"/>
      <c r="G686" s="4">
        <v>-0.252405253</v>
      </c>
      <c r="H686" s="3">
        <v>14.71</v>
      </c>
      <c r="I686" s="3">
        <v>3.71</v>
      </c>
      <c r="J686" s="3">
        <v>0.03</v>
      </c>
    </row>
    <row r="687" spans="1:10" ht="15" customHeight="1" x14ac:dyDescent="0.25">
      <c r="A687" s="2" t="s">
        <v>88</v>
      </c>
      <c r="B687" s="2" t="s">
        <v>447</v>
      </c>
      <c r="C687" s="2" t="s">
        <v>294</v>
      </c>
      <c r="D687" s="2" t="s">
        <v>295</v>
      </c>
      <c r="E687" s="2" t="s">
        <v>252</v>
      </c>
      <c r="F687" s="2"/>
      <c r="G687" s="4">
        <v>1.133412042</v>
      </c>
      <c r="H687" s="3">
        <v>88.09</v>
      </c>
      <c r="I687" s="3">
        <v>-99.84</v>
      </c>
      <c r="J687" s="3">
        <v>0.16</v>
      </c>
    </row>
    <row r="688" spans="1:10" ht="15" customHeight="1" x14ac:dyDescent="0.25">
      <c r="A688" s="2" t="s">
        <v>88</v>
      </c>
      <c r="B688" s="2" t="s">
        <v>448</v>
      </c>
      <c r="C688" s="2" t="s">
        <v>294</v>
      </c>
      <c r="D688" s="2" t="s">
        <v>295</v>
      </c>
      <c r="E688" s="2" t="s">
        <v>260</v>
      </c>
      <c r="F688" s="2"/>
      <c r="G688" s="4">
        <v>7</v>
      </c>
      <c r="H688" s="3">
        <v>12.18</v>
      </c>
      <c r="I688" s="3">
        <v>-85.25</v>
      </c>
      <c r="J688" s="3"/>
    </row>
    <row r="689" spans="1:10" ht="15" customHeight="1" x14ac:dyDescent="0.25">
      <c r="A689" s="2" t="s">
        <v>88</v>
      </c>
      <c r="B689" s="2" t="s">
        <v>448</v>
      </c>
      <c r="C689" s="2" t="s">
        <v>294</v>
      </c>
      <c r="D689" s="2" t="s">
        <v>295</v>
      </c>
      <c r="E689" s="2" t="s">
        <v>260</v>
      </c>
      <c r="F689" s="2"/>
      <c r="G689" s="4">
        <v>1.198003054</v>
      </c>
      <c r="H689" s="3">
        <v>12.18</v>
      </c>
      <c r="I689" s="3">
        <v>-14.59</v>
      </c>
      <c r="J689" s="3">
        <v>0.16</v>
      </c>
    </row>
    <row r="690" spans="1:10" ht="15" customHeight="1" x14ac:dyDescent="0.25">
      <c r="A690" s="2" t="s">
        <v>88</v>
      </c>
      <c r="B690" s="2" t="s">
        <v>449</v>
      </c>
      <c r="C690" s="2" t="s">
        <v>294</v>
      </c>
      <c r="D690" s="2" t="s">
        <v>345</v>
      </c>
      <c r="E690" s="2" t="s">
        <v>446</v>
      </c>
      <c r="F690" s="2"/>
      <c r="G690" s="4">
        <v>-1</v>
      </c>
      <c r="H690" s="3">
        <v>1.06</v>
      </c>
      <c r="I690" s="3">
        <v>106</v>
      </c>
      <c r="J690" s="3"/>
    </row>
    <row r="691" spans="1:10" ht="15" customHeight="1" x14ac:dyDescent="0.25">
      <c r="A691" s="2" t="s">
        <v>90</v>
      </c>
      <c r="B691" s="2" t="s">
        <v>450</v>
      </c>
      <c r="C691" s="2" t="s">
        <v>294</v>
      </c>
      <c r="D691" s="2" t="s">
        <v>295</v>
      </c>
      <c r="E691" s="2" t="s">
        <v>263</v>
      </c>
      <c r="F691" s="2"/>
      <c r="G691" s="4">
        <v>1</v>
      </c>
      <c r="H691" s="3">
        <v>4.3</v>
      </c>
      <c r="I691" s="3">
        <v>-430</v>
      </c>
      <c r="J691" s="3"/>
    </row>
    <row r="692" spans="1:10" ht="15" customHeight="1" x14ac:dyDescent="0.25">
      <c r="A692" s="2" t="s">
        <v>90</v>
      </c>
      <c r="B692" s="2" t="s">
        <v>451</v>
      </c>
      <c r="C692" s="2" t="s">
        <v>294</v>
      </c>
      <c r="D692" s="2" t="s">
        <v>295</v>
      </c>
      <c r="E692" s="2" t="s">
        <v>166</v>
      </c>
      <c r="F692" s="2"/>
      <c r="G692" s="4">
        <v>1.568292491</v>
      </c>
      <c r="H692" s="3">
        <v>50.93</v>
      </c>
      <c r="I692" s="3">
        <v>-79.87</v>
      </c>
      <c r="J692" s="3">
        <v>0.13</v>
      </c>
    </row>
    <row r="693" spans="1:10" ht="15" customHeight="1" x14ac:dyDescent="0.25">
      <c r="A693" s="2" t="s">
        <v>90</v>
      </c>
      <c r="B693" s="2" t="s">
        <v>451</v>
      </c>
      <c r="C693" s="2" t="s">
        <v>294</v>
      </c>
      <c r="D693" s="2" t="s">
        <v>295</v>
      </c>
      <c r="E693" s="2" t="s">
        <v>127</v>
      </c>
      <c r="F693" s="2"/>
      <c r="G693" s="4">
        <v>3</v>
      </c>
      <c r="H693" s="3">
        <v>25.53</v>
      </c>
      <c r="I693" s="3">
        <v>-76.58</v>
      </c>
      <c r="J693" s="3"/>
    </row>
    <row r="694" spans="1:10" ht="15" customHeight="1" x14ac:dyDescent="0.25">
      <c r="A694" s="2" t="s">
        <v>90</v>
      </c>
      <c r="B694" s="2" t="s">
        <v>451</v>
      </c>
      <c r="C694" s="2" t="s">
        <v>294</v>
      </c>
      <c r="D694" s="2" t="s">
        <v>295</v>
      </c>
      <c r="E694" s="2" t="s">
        <v>127</v>
      </c>
      <c r="F694" s="2"/>
      <c r="G694" s="4">
        <v>1.6936336919999999</v>
      </c>
      <c r="H694" s="3">
        <v>25.53</v>
      </c>
      <c r="I694" s="3">
        <v>-43.23</v>
      </c>
      <c r="J694" s="3">
        <v>0.19</v>
      </c>
    </row>
    <row r="695" spans="1:10" ht="15" customHeight="1" x14ac:dyDescent="0.25">
      <c r="A695" s="2" t="s">
        <v>90</v>
      </c>
      <c r="B695" s="2" t="s">
        <v>451</v>
      </c>
      <c r="C695" s="2" t="s">
        <v>294</v>
      </c>
      <c r="D695" s="2" t="s">
        <v>295</v>
      </c>
      <c r="E695" s="2" t="s">
        <v>143</v>
      </c>
      <c r="F695" s="2"/>
      <c r="G695" s="4">
        <v>1.9720312870000001</v>
      </c>
      <c r="H695" s="3">
        <v>50.63</v>
      </c>
      <c r="I695" s="3">
        <v>-99.84</v>
      </c>
      <c r="J695" s="3">
        <v>0.16</v>
      </c>
    </row>
    <row r="696" spans="1:10" ht="15" customHeight="1" x14ac:dyDescent="0.25">
      <c r="A696" s="2" t="s">
        <v>90</v>
      </c>
      <c r="B696" s="2" t="s">
        <v>451</v>
      </c>
      <c r="C696" s="2" t="s">
        <v>294</v>
      </c>
      <c r="D696" s="2" t="s">
        <v>295</v>
      </c>
      <c r="E696" s="2" t="s">
        <v>185</v>
      </c>
      <c r="F696" s="2"/>
      <c r="G696" s="4">
        <v>1</v>
      </c>
      <c r="H696" s="3">
        <v>47.81</v>
      </c>
      <c r="I696" s="3">
        <v>-47.81</v>
      </c>
      <c r="J696" s="3"/>
    </row>
    <row r="697" spans="1:10" ht="15" customHeight="1" x14ac:dyDescent="0.25">
      <c r="A697" s="2" t="s">
        <v>90</v>
      </c>
      <c r="B697" s="2" t="s">
        <v>451</v>
      </c>
      <c r="C697" s="2" t="s">
        <v>294</v>
      </c>
      <c r="D697" s="2" t="s">
        <v>295</v>
      </c>
      <c r="E697" s="2" t="s">
        <v>185</v>
      </c>
      <c r="F697" s="2"/>
      <c r="G697" s="4">
        <v>1.0882865390000001</v>
      </c>
      <c r="H697" s="3">
        <v>47.81</v>
      </c>
      <c r="I697" s="3">
        <v>-52.03</v>
      </c>
      <c r="J697" s="3">
        <v>0.16</v>
      </c>
    </row>
    <row r="698" spans="1:10" ht="15" customHeight="1" x14ac:dyDescent="0.25">
      <c r="A698" s="2" t="s">
        <v>90</v>
      </c>
      <c r="B698" s="2" t="s">
        <v>451</v>
      </c>
      <c r="C698" s="2" t="s">
        <v>294</v>
      </c>
      <c r="D698" s="2" t="s">
        <v>295</v>
      </c>
      <c r="E698" s="2" t="s">
        <v>218</v>
      </c>
      <c r="F698" s="2"/>
      <c r="G698" s="4">
        <v>1</v>
      </c>
      <c r="H698" s="3">
        <v>57.41</v>
      </c>
      <c r="I698" s="3">
        <v>-57.41</v>
      </c>
      <c r="J698" s="3"/>
    </row>
    <row r="699" spans="1:10" ht="15" customHeight="1" x14ac:dyDescent="0.25">
      <c r="A699" s="2" t="s">
        <v>90</v>
      </c>
      <c r="B699" s="2" t="s">
        <v>451</v>
      </c>
      <c r="C699" s="2" t="s">
        <v>294</v>
      </c>
      <c r="D699" s="2" t="s">
        <v>295</v>
      </c>
      <c r="E699" s="2" t="s">
        <v>218</v>
      </c>
      <c r="F699" s="2"/>
      <c r="G699" s="4">
        <v>1.0870133259999999</v>
      </c>
      <c r="H699" s="3">
        <v>57.41</v>
      </c>
      <c r="I699" s="3">
        <v>-62.4</v>
      </c>
      <c r="J699" s="3">
        <v>0.19</v>
      </c>
    </row>
    <row r="700" spans="1:10" ht="15" customHeight="1" x14ac:dyDescent="0.25">
      <c r="A700" s="2" t="s">
        <v>90</v>
      </c>
      <c r="B700" s="2" t="s">
        <v>451</v>
      </c>
      <c r="C700" s="2" t="s">
        <v>294</v>
      </c>
      <c r="D700" s="2" t="s">
        <v>295</v>
      </c>
      <c r="E700" s="2" t="s">
        <v>129</v>
      </c>
      <c r="F700" s="2"/>
      <c r="G700" s="4">
        <v>4</v>
      </c>
      <c r="H700" s="3">
        <v>49.39</v>
      </c>
      <c r="I700" s="3">
        <v>-197.56</v>
      </c>
      <c r="J700" s="3">
        <v>0.32</v>
      </c>
    </row>
    <row r="701" spans="1:10" ht="15" customHeight="1" x14ac:dyDescent="0.25">
      <c r="A701" s="2" t="s">
        <v>90</v>
      </c>
      <c r="B701" s="2" t="s">
        <v>451</v>
      </c>
      <c r="C701" s="2" t="s">
        <v>294</v>
      </c>
      <c r="D701" s="2" t="s">
        <v>295</v>
      </c>
      <c r="E701" s="2" t="s">
        <v>119</v>
      </c>
      <c r="F701" s="2"/>
      <c r="G701" s="4">
        <v>1</v>
      </c>
      <c r="H701" s="3">
        <v>100.44</v>
      </c>
      <c r="I701" s="3">
        <v>-100.44</v>
      </c>
      <c r="J701" s="3"/>
    </row>
    <row r="702" spans="1:10" ht="15" customHeight="1" x14ac:dyDescent="0.25">
      <c r="A702" s="2" t="s">
        <v>90</v>
      </c>
      <c r="B702" s="2" t="s">
        <v>451</v>
      </c>
      <c r="C702" s="2" t="s">
        <v>294</v>
      </c>
      <c r="D702" s="2" t="s">
        <v>295</v>
      </c>
      <c r="E702" s="2" t="s">
        <v>115</v>
      </c>
      <c r="F702" s="2"/>
      <c r="G702" s="4">
        <v>0.36301593599999998</v>
      </c>
      <c r="H702" s="3">
        <v>110.19</v>
      </c>
      <c r="I702" s="3">
        <v>-40</v>
      </c>
      <c r="J702" s="3"/>
    </row>
    <row r="703" spans="1:10" ht="15" customHeight="1" x14ac:dyDescent="0.25">
      <c r="A703" s="2" t="s">
        <v>90</v>
      </c>
      <c r="B703" s="2" t="s">
        <v>451</v>
      </c>
      <c r="C703" s="2" t="s">
        <v>294</v>
      </c>
      <c r="D703" s="2" t="s">
        <v>295</v>
      </c>
      <c r="E703" s="2" t="s">
        <v>162</v>
      </c>
      <c r="F703" s="2"/>
      <c r="G703" s="4">
        <v>2</v>
      </c>
      <c r="H703" s="3">
        <v>25.29</v>
      </c>
      <c r="I703" s="3">
        <v>-50.57</v>
      </c>
      <c r="J703" s="3"/>
    </row>
    <row r="704" spans="1:10" ht="15" customHeight="1" x14ac:dyDescent="0.25">
      <c r="A704" s="2" t="s">
        <v>90</v>
      </c>
      <c r="B704" s="2" t="s">
        <v>451</v>
      </c>
      <c r="C704" s="2" t="s">
        <v>294</v>
      </c>
      <c r="D704" s="2" t="s">
        <v>295</v>
      </c>
      <c r="E704" s="2" t="s">
        <v>162</v>
      </c>
      <c r="F704" s="2"/>
      <c r="G704" s="4">
        <v>1.9547980140000001</v>
      </c>
      <c r="H704" s="3">
        <v>25.29</v>
      </c>
      <c r="I704" s="3">
        <v>-49.43</v>
      </c>
      <c r="J704" s="3"/>
    </row>
    <row r="705" spans="1:10" ht="15" customHeight="1" x14ac:dyDescent="0.25">
      <c r="A705" s="2" t="s">
        <v>90</v>
      </c>
      <c r="B705" s="2" t="s">
        <v>452</v>
      </c>
      <c r="C705" s="2" t="s">
        <v>294</v>
      </c>
      <c r="D705" s="2" t="s">
        <v>295</v>
      </c>
      <c r="E705" s="2" t="s">
        <v>183</v>
      </c>
      <c r="F705" s="2"/>
      <c r="G705" s="4">
        <v>2</v>
      </c>
      <c r="H705" s="3">
        <v>26.55</v>
      </c>
      <c r="I705" s="3">
        <v>-53.09</v>
      </c>
      <c r="J705" s="3"/>
    </row>
    <row r="706" spans="1:10" ht="15" customHeight="1" x14ac:dyDescent="0.25">
      <c r="A706" s="2" t="s">
        <v>90</v>
      </c>
      <c r="B706" s="2" t="s">
        <v>452</v>
      </c>
      <c r="C706" s="2" t="s">
        <v>294</v>
      </c>
      <c r="D706" s="2" t="s">
        <v>295</v>
      </c>
      <c r="E706" s="2" t="s">
        <v>183</v>
      </c>
      <c r="F706" s="2"/>
      <c r="G706" s="4">
        <v>1.0087958859999999</v>
      </c>
      <c r="H706" s="3">
        <v>26.55</v>
      </c>
      <c r="I706" s="3">
        <v>-26.78</v>
      </c>
      <c r="J706" s="3">
        <v>0.13</v>
      </c>
    </row>
    <row r="707" spans="1:10" ht="15" customHeight="1" x14ac:dyDescent="0.25">
      <c r="A707" s="2" t="s">
        <v>90</v>
      </c>
      <c r="B707" s="2" t="s">
        <v>453</v>
      </c>
      <c r="C707" s="2" t="s">
        <v>294</v>
      </c>
      <c r="D707" s="2" t="s">
        <v>295</v>
      </c>
      <c r="E707" s="2" t="s">
        <v>196</v>
      </c>
      <c r="F707" s="2"/>
      <c r="G707" s="4">
        <v>2</v>
      </c>
      <c r="H707" s="3">
        <v>26.2</v>
      </c>
      <c r="I707" s="3">
        <v>-52.39</v>
      </c>
      <c r="J707" s="3"/>
    </row>
    <row r="708" spans="1:10" ht="15" customHeight="1" x14ac:dyDescent="0.25">
      <c r="A708" s="2" t="s">
        <v>90</v>
      </c>
      <c r="B708" s="2" t="s">
        <v>453</v>
      </c>
      <c r="C708" s="2" t="s">
        <v>294</v>
      </c>
      <c r="D708" s="2" t="s">
        <v>295</v>
      </c>
      <c r="E708" s="2" t="s">
        <v>196</v>
      </c>
      <c r="F708" s="2"/>
      <c r="G708" s="4">
        <v>1.8113383279999999</v>
      </c>
      <c r="H708" s="3">
        <v>26.2</v>
      </c>
      <c r="I708" s="3">
        <v>-47.45</v>
      </c>
      <c r="J708" s="3">
        <v>0.16</v>
      </c>
    </row>
    <row r="709" spans="1:10" ht="15" customHeight="1" x14ac:dyDescent="0.25">
      <c r="A709" s="2" t="s">
        <v>90</v>
      </c>
      <c r="B709" s="2" t="s">
        <v>454</v>
      </c>
      <c r="C709" s="2" t="s">
        <v>294</v>
      </c>
      <c r="D709" s="2" t="s">
        <v>295</v>
      </c>
      <c r="E709" s="2" t="s">
        <v>265</v>
      </c>
      <c r="F709" s="2"/>
      <c r="G709" s="4">
        <v>0.47506711499999998</v>
      </c>
      <c r="H709" s="3">
        <v>399.31</v>
      </c>
      <c r="I709" s="3">
        <v>-189.7</v>
      </c>
      <c r="J709" s="3">
        <v>0.3</v>
      </c>
    </row>
    <row r="710" spans="1:10" ht="15" customHeight="1" x14ac:dyDescent="0.25">
      <c r="A710" s="2" t="s">
        <v>90</v>
      </c>
      <c r="B710" s="2" t="s">
        <v>454</v>
      </c>
      <c r="C710" s="2" t="s">
        <v>294</v>
      </c>
      <c r="D710" s="2" t="s">
        <v>295</v>
      </c>
      <c r="E710" s="2" t="s">
        <v>154</v>
      </c>
      <c r="F710" s="2"/>
      <c r="G710" s="4">
        <v>1.224474152</v>
      </c>
      <c r="H710" s="3">
        <v>65.23</v>
      </c>
      <c r="I710" s="3">
        <v>-79.87</v>
      </c>
      <c r="J710" s="3">
        <v>0.13</v>
      </c>
    </row>
    <row r="711" spans="1:10" ht="15" customHeight="1" x14ac:dyDescent="0.25">
      <c r="A711" s="2" t="s">
        <v>92</v>
      </c>
      <c r="B711" s="2" t="s">
        <v>455</v>
      </c>
      <c r="C711" s="2" t="s">
        <v>294</v>
      </c>
      <c r="D711" s="2" t="s">
        <v>345</v>
      </c>
      <c r="E711" s="2" t="s">
        <v>216</v>
      </c>
      <c r="F711" s="2"/>
      <c r="G711" s="4">
        <v>-1</v>
      </c>
      <c r="H711" s="3">
        <v>21.57</v>
      </c>
      <c r="I711" s="3">
        <v>21.57</v>
      </c>
      <c r="J711" s="3"/>
    </row>
    <row r="712" spans="1:10" ht="15" customHeight="1" x14ac:dyDescent="0.25">
      <c r="A712" s="2" t="s">
        <v>92</v>
      </c>
      <c r="B712" s="2" t="s">
        <v>455</v>
      </c>
      <c r="C712" s="2" t="s">
        <v>294</v>
      </c>
      <c r="D712" s="2" t="s">
        <v>345</v>
      </c>
      <c r="E712" s="2" t="s">
        <v>216</v>
      </c>
      <c r="F712" s="2"/>
      <c r="G712" s="4">
        <v>-0.39640059599999999</v>
      </c>
      <c r="H712" s="3">
        <v>21.57</v>
      </c>
      <c r="I712" s="3">
        <v>8.5500000000000007</v>
      </c>
      <c r="J712" s="3">
        <v>0.05</v>
      </c>
    </row>
    <row r="713" spans="1:10" ht="15" customHeight="1" x14ac:dyDescent="0.25">
      <c r="A713" s="2" t="s">
        <v>92</v>
      </c>
      <c r="B713" s="2" t="s">
        <v>455</v>
      </c>
      <c r="C713" s="2" t="s">
        <v>294</v>
      </c>
      <c r="D713" s="2" t="s">
        <v>345</v>
      </c>
      <c r="E713" s="2" t="s">
        <v>121</v>
      </c>
      <c r="F713" s="2"/>
      <c r="G713" s="4">
        <v>-46</v>
      </c>
      <c r="H713" s="3">
        <v>27.26</v>
      </c>
      <c r="I713" s="3">
        <v>1254.04</v>
      </c>
      <c r="J713" s="3"/>
    </row>
    <row r="714" spans="1:10" ht="15" customHeight="1" x14ac:dyDescent="0.25">
      <c r="A714" s="2" t="s">
        <v>92</v>
      </c>
      <c r="B714" s="2" t="s">
        <v>455</v>
      </c>
      <c r="C714" s="2" t="s">
        <v>294</v>
      </c>
      <c r="D714" s="2" t="s">
        <v>345</v>
      </c>
      <c r="E714" s="2" t="s">
        <v>121</v>
      </c>
      <c r="F714" s="2"/>
      <c r="G714" s="4">
        <v>-0.50767861999999997</v>
      </c>
      <c r="H714" s="3">
        <v>27.26</v>
      </c>
      <c r="I714" s="3">
        <v>13.84</v>
      </c>
      <c r="J714" s="3"/>
    </row>
    <row r="715" spans="1:10" ht="15" customHeight="1" x14ac:dyDescent="0.25">
      <c r="A715" s="2" t="s">
        <v>92</v>
      </c>
      <c r="B715" s="2" t="s">
        <v>456</v>
      </c>
      <c r="C715" s="2" t="s">
        <v>294</v>
      </c>
      <c r="D715" s="2" t="s">
        <v>345</v>
      </c>
      <c r="E715" s="2" t="s">
        <v>204</v>
      </c>
      <c r="F715" s="2"/>
      <c r="G715" s="4">
        <v>-34</v>
      </c>
      <c r="H715" s="3">
        <v>3.02</v>
      </c>
      <c r="I715" s="3">
        <v>102.68</v>
      </c>
      <c r="J715" s="3">
        <v>0.36</v>
      </c>
    </row>
    <row r="716" spans="1:10" ht="15" customHeight="1" x14ac:dyDescent="0.25">
      <c r="A716" s="2" t="s">
        <v>92</v>
      </c>
      <c r="B716" s="2" t="s">
        <v>456</v>
      </c>
      <c r="C716" s="2" t="s">
        <v>294</v>
      </c>
      <c r="D716" s="2" t="s">
        <v>345</v>
      </c>
      <c r="E716" s="2" t="s">
        <v>250</v>
      </c>
      <c r="F716" s="2"/>
      <c r="G716" s="4">
        <v>-0.63811627999999998</v>
      </c>
      <c r="H716" s="3">
        <v>255.72</v>
      </c>
      <c r="I716" s="3">
        <v>163.18</v>
      </c>
      <c r="J716" s="3">
        <v>0.26</v>
      </c>
    </row>
    <row r="717" spans="1:10" ht="15" customHeight="1" x14ac:dyDescent="0.25">
      <c r="A717" s="2" t="s">
        <v>92</v>
      </c>
      <c r="B717" s="2" t="s">
        <v>456</v>
      </c>
      <c r="C717" s="2" t="s">
        <v>294</v>
      </c>
      <c r="D717" s="2" t="s">
        <v>345</v>
      </c>
      <c r="E717" s="2" t="s">
        <v>242</v>
      </c>
      <c r="F717" s="2"/>
      <c r="G717" s="4">
        <v>-7</v>
      </c>
      <c r="H717" s="3">
        <v>8.91</v>
      </c>
      <c r="I717" s="3">
        <v>62.37</v>
      </c>
      <c r="J717" s="3"/>
    </row>
    <row r="718" spans="1:10" ht="15" customHeight="1" x14ac:dyDescent="0.25">
      <c r="A718" s="2" t="s">
        <v>92</v>
      </c>
      <c r="B718" s="2" t="s">
        <v>456</v>
      </c>
      <c r="C718" s="2" t="s">
        <v>294</v>
      </c>
      <c r="D718" s="2" t="s">
        <v>345</v>
      </c>
      <c r="E718" s="2" t="s">
        <v>242</v>
      </c>
      <c r="F718" s="2"/>
      <c r="G718" s="4">
        <v>-0.874658771</v>
      </c>
      <c r="H718" s="3">
        <v>8.91</v>
      </c>
      <c r="I718" s="3">
        <v>7.79</v>
      </c>
      <c r="J718" s="3">
        <v>0.11</v>
      </c>
    </row>
    <row r="719" spans="1:10" ht="15" customHeight="1" x14ac:dyDescent="0.25">
      <c r="A719" s="2" t="s">
        <v>92</v>
      </c>
      <c r="B719" s="2" t="s">
        <v>456</v>
      </c>
      <c r="C719" s="2" t="s">
        <v>294</v>
      </c>
      <c r="D719" s="2" t="s">
        <v>295</v>
      </c>
      <c r="E719" s="2" t="s">
        <v>270</v>
      </c>
      <c r="F719" s="2"/>
      <c r="G719" s="4">
        <v>1</v>
      </c>
      <c r="H719" s="3">
        <v>2.0699999999999998</v>
      </c>
      <c r="I719" s="3">
        <v>-207</v>
      </c>
      <c r="J719" s="3"/>
    </row>
    <row r="720" spans="1:10" ht="15" customHeight="1" x14ac:dyDescent="0.25">
      <c r="A720" s="2" t="s">
        <v>92</v>
      </c>
      <c r="B720" s="2" t="s">
        <v>456</v>
      </c>
      <c r="C720" s="2" t="s">
        <v>294</v>
      </c>
      <c r="D720" s="2" t="s">
        <v>345</v>
      </c>
      <c r="E720" s="2" t="s">
        <v>235</v>
      </c>
      <c r="F720" s="2"/>
      <c r="G720" s="4">
        <v>-0.71350215900000002</v>
      </c>
      <c r="H720" s="3">
        <v>287.25</v>
      </c>
      <c r="I720" s="3">
        <v>204.96</v>
      </c>
      <c r="J720" s="3">
        <v>0.33</v>
      </c>
    </row>
    <row r="721" spans="1:10" ht="15" customHeight="1" x14ac:dyDescent="0.25">
      <c r="A721" s="2" t="s">
        <v>92</v>
      </c>
      <c r="B721" s="2" t="s">
        <v>457</v>
      </c>
      <c r="C721" s="2" t="s">
        <v>294</v>
      </c>
      <c r="D721" s="2" t="s">
        <v>295</v>
      </c>
      <c r="E721" s="2" t="s">
        <v>192</v>
      </c>
      <c r="F721" s="2"/>
      <c r="G721" s="4">
        <v>1.9909069150000001</v>
      </c>
      <c r="H721" s="3">
        <v>50.15</v>
      </c>
      <c r="I721" s="3">
        <v>-99.84</v>
      </c>
      <c r="J721" s="3">
        <v>0.16</v>
      </c>
    </row>
    <row r="722" spans="1:10" ht="15" customHeight="1" x14ac:dyDescent="0.25">
      <c r="A722" s="2" t="s">
        <v>92</v>
      </c>
      <c r="B722" s="2" t="s">
        <v>457</v>
      </c>
      <c r="C722" s="2" t="s">
        <v>294</v>
      </c>
      <c r="D722" s="2" t="s">
        <v>295</v>
      </c>
      <c r="E722" s="2" t="s">
        <v>218</v>
      </c>
      <c r="F722" s="2"/>
      <c r="G722" s="4">
        <v>2</v>
      </c>
      <c r="H722" s="3">
        <v>57.67</v>
      </c>
      <c r="I722" s="3">
        <v>-115.33</v>
      </c>
      <c r="J722" s="3"/>
    </row>
    <row r="723" spans="1:10" ht="15" customHeight="1" x14ac:dyDescent="0.25">
      <c r="A723" s="2" t="s">
        <v>92</v>
      </c>
      <c r="B723" s="2" t="s">
        <v>457</v>
      </c>
      <c r="C723" s="2" t="s">
        <v>294</v>
      </c>
      <c r="D723" s="2" t="s">
        <v>295</v>
      </c>
      <c r="E723" s="2" t="s">
        <v>218</v>
      </c>
      <c r="F723" s="2"/>
      <c r="G723" s="4">
        <v>1.398898499</v>
      </c>
      <c r="H723" s="3">
        <v>57.67</v>
      </c>
      <c r="I723" s="3">
        <v>-80.67</v>
      </c>
      <c r="J723" s="3"/>
    </row>
    <row r="724" spans="1:10" ht="15" customHeight="1" x14ac:dyDescent="0.25">
      <c r="A724" s="2" t="s">
        <v>92</v>
      </c>
      <c r="B724" s="2" t="s">
        <v>457</v>
      </c>
      <c r="C724" s="2" t="s">
        <v>294</v>
      </c>
      <c r="D724" s="2" t="s">
        <v>295</v>
      </c>
      <c r="E724" s="2" t="s">
        <v>265</v>
      </c>
      <c r="F724" s="2"/>
      <c r="G724" s="4">
        <v>0.48610434800000002</v>
      </c>
      <c r="H724" s="3">
        <v>410.78</v>
      </c>
      <c r="I724" s="3">
        <v>-199.68</v>
      </c>
      <c r="J724" s="3">
        <v>0.32</v>
      </c>
    </row>
    <row r="725" spans="1:10" ht="15" customHeight="1" x14ac:dyDescent="0.25">
      <c r="A725" s="2" t="s">
        <v>92</v>
      </c>
      <c r="B725" s="2" t="s">
        <v>457</v>
      </c>
      <c r="C725" s="2" t="s">
        <v>294</v>
      </c>
      <c r="D725" s="2" t="s">
        <v>295</v>
      </c>
      <c r="E725" s="2" t="s">
        <v>129</v>
      </c>
      <c r="F725" s="2"/>
      <c r="G725" s="4">
        <v>2</v>
      </c>
      <c r="H725" s="3">
        <v>48.94</v>
      </c>
      <c r="I725" s="3">
        <v>-97.88</v>
      </c>
      <c r="J725" s="3">
        <v>0.16</v>
      </c>
    </row>
    <row r="726" spans="1:10" ht="15" customHeight="1" x14ac:dyDescent="0.25">
      <c r="A726" s="2" t="s">
        <v>92</v>
      </c>
      <c r="B726" s="2" t="s">
        <v>457</v>
      </c>
      <c r="C726" s="2" t="s">
        <v>294</v>
      </c>
      <c r="D726" s="2" t="s">
        <v>295</v>
      </c>
      <c r="E726" s="2" t="s">
        <v>175</v>
      </c>
      <c r="F726" s="2"/>
      <c r="G726" s="4">
        <v>0.76856460999999998</v>
      </c>
      <c r="H726" s="3">
        <v>155.88999999999999</v>
      </c>
      <c r="I726" s="3">
        <v>-119.81</v>
      </c>
      <c r="J726" s="3">
        <v>0.19</v>
      </c>
    </row>
    <row r="727" spans="1:10" ht="15" customHeight="1" x14ac:dyDescent="0.25">
      <c r="A727" s="2" t="s">
        <v>92</v>
      </c>
      <c r="B727" s="2" t="s">
        <v>457</v>
      </c>
      <c r="C727" s="2" t="s">
        <v>294</v>
      </c>
      <c r="D727" s="2" t="s">
        <v>295</v>
      </c>
      <c r="E727" s="2" t="s">
        <v>247</v>
      </c>
      <c r="F727" s="2"/>
      <c r="G727" s="4">
        <v>2</v>
      </c>
      <c r="H727" s="3">
        <v>31.06</v>
      </c>
      <c r="I727" s="3">
        <v>-62.12</v>
      </c>
      <c r="J727" s="3"/>
    </row>
    <row r="728" spans="1:10" ht="15" customHeight="1" x14ac:dyDescent="0.25">
      <c r="A728" s="2" t="s">
        <v>92</v>
      </c>
      <c r="B728" s="2" t="s">
        <v>457</v>
      </c>
      <c r="C728" s="2" t="s">
        <v>294</v>
      </c>
      <c r="D728" s="2" t="s">
        <v>295</v>
      </c>
      <c r="E728" s="2" t="s">
        <v>247</v>
      </c>
      <c r="F728" s="2"/>
      <c r="G728" s="4">
        <v>1.2196653319999999</v>
      </c>
      <c r="H728" s="3">
        <v>31.06</v>
      </c>
      <c r="I728" s="3">
        <v>-37.880000000000003</v>
      </c>
      <c r="J728" s="3"/>
    </row>
    <row r="729" spans="1:10" ht="15" customHeight="1" x14ac:dyDescent="0.25">
      <c r="A729" s="2" t="s">
        <v>92</v>
      </c>
      <c r="B729" s="2" t="s">
        <v>458</v>
      </c>
      <c r="C729" s="2" t="s">
        <v>294</v>
      </c>
      <c r="D729" s="2" t="s">
        <v>295</v>
      </c>
      <c r="E729" s="2" t="s">
        <v>166</v>
      </c>
      <c r="F729" s="2"/>
      <c r="G729" s="4">
        <v>1.962727058</v>
      </c>
      <c r="H729" s="3">
        <v>50.87</v>
      </c>
      <c r="I729" s="3">
        <v>-99.84</v>
      </c>
      <c r="J729" s="3">
        <v>0.16</v>
      </c>
    </row>
    <row r="730" spans="1:10" ht="15" customHeight="1" x14ac:dyDescent="0.25">
      <c r="A730" s="2" t="s">
        <v>92</v>
      </c>
      <c r="B730" s="2" t="s">
        <v>458</v>
      </c>
      <c r="C730" s="2" t="s">
        <v>294</v>
      </c>
      <c r="D730" s="2" t="s">
        <v>295</v>
      </c>
      <c r="E730" s="2" t="s">
        <v>127</v>
      </c>
      <c r="F730" s="2"/>
      <c r="G730" s="4">
        <v>2</v>
      </c>
      <c r="H730" s="3">
        <v>25.5</v>
      </c>
      <c r="I730" s="3">
        <v>-50.99</v>
      </c>
      <c r="J730" s="3"/>
    </row>
    <row r="731" spans="1:10" ht="15" customHeight="1" x14ac:dyDescent="0.25">
      <c r="A731" s="2" t="s">
        <v>92</v>
      </c>
      <c r="B731" s="2" t="s">
        <v>458</v>
      </c>
      <c r="C731" s="2" t="s">
        <v>294</v>
      </c>
      <c r="D731" s="2" t="s">
        <v>295</v>
      </c>
      <c r="E731" s="2" t="s">
        <v>127</v>
      </c>
      <c r="F731" s="2"/>
      <c r="G731" s="4">
        <v>1.8375071080000001</v>
      </c>
      <c r="H731" s="3">
        <v>25.5</v>
      </c>
      <c r="I731" s="3">
        <v>-46.85</v>
      </c>
      <c r="J731" s="3">
        <v>0.16</v>
      </c>
    </row>
    <row r="732" spans="1:10" ht="15" customHeight="1" x14ac:dyDescent="0.25">
      <c r="A732" s="2" t="s">
        <v>92</v>
      </c>
      <c r="B732" s="2" t="s">
        <v>458</v>
      </c>
      <c r="C732" s="2" t="s">
        <v>294</v>
      </c>
      <c r="D732" s="2" t="s">
        <v>295</v>
      </c>
      <c r="E732" s="2" t="s">
        <v>143</v>
      </c>
      <c r="F732" s="2"/>
      <c r="G732" s="4">
        <v>1.942503176</v>
      </c>
      <c r="H732" s="3">
        <v>50.37</v>
      </c>
      <c r="I732" s="3">
        <v>-97.84</v>
      </c>
      <c r="J732" s="3">
        <v>0.16</v>
      </c>
    </row>
    <row r="733" spans="1:10" ht="15" customHeight="1" x14ac:dyDescent="0.25">
      <c r="A733" s="2" t="s">
        <v>92</v>
      </c>
      <c r="B733" s="2" t="s">
        <v>458</v>
      </c>
      <c r="C733" s="2" t="s">
        <v>294</v>
      </c>
      <c r="D733" s="2" t="s">
        <v>295</v>
      </c>
      <c r="E733" s="2" t="s">
        <v>185</v>
      </c>
      <c r="F733" s="2"/>
      <c r="G733" s="4">
        <v>1.673183517</v>
      </c>
      <c r="H733" s="3">
        <v>46.55</v>
      </c>
      <c r="I733" s="3">
        <v>-77.88</v>
      </c>
      <c r="J733" s="3">
        <v>0.12</v>
      </c>
    </row>
    <row r="734" spans="1:10" ht="15" customHeight="1" x14ac:dyDescent="0.25">
      <c r="A734" s="2" t="s">
        <v>92</v>
      </c>
      <c r="B734" s="2" t="s">
        <v>458</v>
      </c>
      <c r="C734" s="2" t="s">
        <v>294</v>
      </c>
      <c r="D734" s="2" t="s">
        <v>295</v>
      </c>
      <c r="E734" s="2" t="s">
        <v>119</v>
      </c>
      <c r="F734" s="2"/>
      <c r="G734" s="4">
        <v>0.96408091699999998</v>
      </c>
      <c r="H734" s="3">
        <v>100.45</v>
      </c>
      <c r="I734" s="3">
        <v>-96.84</v>
      </c>
      <c r="J734" s="3">
        <v>0.16</v>
      </c>
    </row>
    <row r="735" spans="1:10" ht="15" customHeight="1" x14ac:dyDescent="0.25">
      <c r="A735" s="2" t="s">
        <v>92</v>
      </c>
      <c r="B735" s="2" t="s">
        <v>458</v>
      </c>
      <c r="C735" s="2" t="s">
        <v>294</v>
      </c>
      <c r="D735" s="2" t="s">
        <v>295</v>
      </c>
      <c r="E735" s="2" t="s">
        <v>115</v>
      </c>
      <c r="F735" s="2"/>
      <c r="G735" s="4">
        <v>0.87902113100000001</v>
      </c>
      <c r="H735" s="3">
        <v>110.17</v>
      </c>
      <c r="I735" s="3">
        <v>-96.84</v>
      </c>
      <c r="J735" s="3">
        <v>0.16</v>
      </c>
    </row>
    <row r="736" spans="1:10" ht="15" customHeight="1" x14ac:dyDescent="0.25">
      <c r="A736" s="2" t="s">
        <v>92</v>
      </c>
      <c r="B736" s="2" t="s">
        <v>458</v>
      </c>
      <c r="C736" s="2" t="s">
        <v>294</v>
      </c>
      <c r="D736" s="2" t="s">
        <v>295</v>
      </c>
      <c r="E736" s="2" t="s">
        <v>162</v>
      </c>
      <c r="F736" s="2"/>
      <c r="G736" s="4">
        <v>4</v>
      </c>
      <c r="H736" s="3">
        <v>24.98</v>
      </c>
      <c r="I736" s="3">
        <v>-99.9</v>
      </c>
      <c r="J736" s="3"/>
    </row>
    <row r="737" spans="1:10" ht="15" customHeight="1" x14ac:dyDescent="0.25">
      <c r="A737" s="2" t="s">
        <v>92</v>
      </c>
      <c r="B737" s="2" t="s">
        <v>458</v>
      </c>
      <c r="C737" s="2" t="s">
        <v>294</v>
      </c>
      <c r="D737" s="2" t="s">
        <v>295</v>
      </c>
      <c r="E737" s="2" t="s">
        <v>162</v>
      </c>
      <c r="F737" s="2"/>
      <c r="G737" s="4">
        <v>1.4766766760000001</v>
      </c>
      <c r="H737" s="3">
        <v>24.98</v>
      </c>
      <c r="I737" s="3">
        <v>-36.880000000000003</v>
      </c>
      <c r="J737" s="3">
        <v>0.22</v>
      </c>
    </row>
    <row r="738" spans="1:10" ht="15" customHeight="1" x14ac:dyDescent="0.25">
      <c r="A738" s="2" t="s">
        <v>92</v>
      </c>
      <c r="B738" s="2" t="s">
        <v>459</v>
      </c>
      <c r="C738" s="2" t="s">
        <v>294</v>
      </c>
      <c r="D738" s="2" t="s">
        <v>295</v>
      </c>
      <c r="E738" s="2" t="s">
        <v>183</v>
      </c>
      <c r="F738" s="2"/>
      <c r="G738" s="4">
        <v>2</v>
      </c>
      <c r="H738" s="3">
        <v>25.7</v>
      </c>
      <c r="I738" s="3">
        <v>-51.39</v>
      </c>
      <c r="J738" s="3"/>
    </row>
    <row r="739" spans="1:10" ht="15" customHeight="1" x14ac:dyDescent="0.25">
      <c r="A739" s="2" t="s">
        <v>92</v>
      </c>
      <c r="B739" s="2" t="s">
        <v>459</v>
      </c>
      <c r="C739" s="2" t="s">
        <v>294</v>
      </c>
      <c r="D739" s="2" t="s">
        <v>295</v>
      </c>
      <c r="E739" s="2" t="s">
        <v>183</v>
      </c>
      <c r="F739" s="2"/>
      <c r="G739" s="4">
        <v>1.8854634459999999</v>
      </c>
      <c r="H739" s="3">
        <v>25.7</v>
      </c>
      <c r="I739" s="3">
        <v>-48.45</v>
      </c>
      <c r="J739" s="3">
        <v>0.16</v>
      </c>
    </row>
    <row r="740" spans="1:10" ht="15" customHeight="1" x14ac:dyDescent="0.25">
      <c r="A740" s="2" t="s">
        <v>92</v>
      </c>
      <c r="B740" s="2" t="s">
        <v>459</v>
      </c>
      <c r="C740" s="2" t="s">
        <v>294</v>
      </c>
      <c r="D740" s="2" t="s">
        <v>295</v>
      </c>
      <c r="E740" s="2" t="s">
        <v>132</v>
      </c>
      <c r="F740" s="2"/>
      <c r="G740" s="4">
        <v>7</v>
      </c>
      <c r="H740" s="3">
        <v>13.58</v>
      </c>
      <c r="I740" s="3">
        <v>-95.03</v>
      </c>
      <c r="J740" s="3">
        <v>0.15</v>
      </c>
    </row>
    <row r="741" spans="1:10" ht="15" customHeight="1" x14ac:dyDescent="0.25">
      <c r="A741" s="2" t="s">
        <v>92</v>
      </c>
      <c r="B741" s="2" t="s">
        <v>459</v>
      </c>
      <c r="C741" s="2" t="s">
        <v>294</v>
      </c>
      <c r="D741" s="2" t="s">
        <v>295</v>
      </c>
      <c r="E741" s="2" t="s">
        <v>179</v>
      </c>
      <c r="F741" s="2"/>
      <c r="G741" s="4">
        <v>2</v>
      </c>
      <c r="H741" s="3">
        <v>18.64</v>
      </c>
      <c r="I741" s="3">
        <v>-37.28</v>
      </c>
      <c r="J741" s="3">
        <v>0.06</v>
      </c>
    </row>
    <row r="742" spans="1:10" ht="15" customHeight="1" x14ac:dyDescent="0.25">
      <c r="A742" s="2" t="s">
        <v>92</v>
      </c>
      <c r="B742" s="2" t="s">
        <v>459</v>
      </c>
      <c r="C742" s="2" t="s">
        <v>294</v>
      </c>
      <c r="D742" s="2" t="s">
        <v>295</v>
      </c>
      <c r="E742" s="2" t="s">
        <v>196</v>
      </c>
      <c r="F742" s="2"/>
      <c r="G742" s="4">
        <v>2</v>
      </c>
      <c r="H742" s="3">
        <v>24.84</v>
      </c>
      <c r="I742" s="3">
        <v>-49.67</v>
      </c>
      <c r="J742" s="3"/>
    </row>
    <row r="743" spans="1:10" ht="15" customHeight="1" x14ac:dyDescent="0.25">
      <c r="A743" s="2" t="s">
        <v>92</v>
      </c>
      <c r="B743" s="2" t="s">
        <v>459</v>
      </c>
      <c r="C743" s="2" t="s">
        <v>294</v>
      </c>
      <c r="D743" s="2" t="s">
        <v>295</v>
      </c>
      <c r="E743" s="2" t="s">
        <v>196</v>
      </c>
      <c r="F743" s="2"/>
      <c r="G743" s="4">
        <v>1.899205611</v>
      </c>
      <c r="H743" s="3">
        <v>24.84</v>
      </c>
      <c r="I743" s="3">
        <v>-47.17</v>
      </c>
      <c r="J743" s="3">
        <v>0.16</v>
      </c>
    </row>
    <row r="744" spans="1:10" ht="15" customHeight="1" x14ac:dyDescent="0.25">
      <c r="A744" s="2" t="s">
        <v>92</v>
      </c>
      <c r="B744" s="2" t="s">
        <v>460</v>
      </c>
      <c r="C744" s="2" t="s">
        <v>294</v>
      </c>
      <c r="D744" s="2" t="s">
        <v>345</v>
      </c>
      <c r="E744" s="2" t="s">
        <v>263</v>
      </c>
      <c r="F744" s="2"/>
      <c r="G744" s="4">
        <v>-1</v>
      </c>
      <c r="H744" s="3">
        <v>0.35</v>
      </c>
      <c r="I744" s="3">
        <v>35</v>
      </c>
      <c r="J744" s="3"/>
    </row>
    <row r="745" spans="1:10" ht="15" customHeight="1" x14ac:dyDescent="0.25">
      <c r="A745" s="2" t="s">
        <v>92</v>
      </c>
      <c r="B745" s="2" t="s">
        <v>461</v>
      </c>
      <c r="C745" s="2" t="s">
        <v>294</v>
      </c>
      <c r="D745" s="2" t="s">
        <v>295</v>
      </c>
      <c r="E745" s="2" t="s">
        <v>154</v>
      </c>
      <c r="F745" s="2"/>
      <c r="G745" s="4">
        <v>1.5093062070000001</v>
      </c>
      <c r="H745" s="3">
        <v>63.51</v>
      </c>
      <c r="I745" s="3">
        <v>-95.85</v>
      </c>
      <c r="J745" s="3">
        <v>0.15</v>
      </c>
    </row>
    <row r="746" spans="1:10" ht="15" customHeight="1" x14ac:dyDescent="0.25">
      <c r="A746" s="2" t="s">
        <v>92</v>
      </c>
      <c r="B746" s="2" t="s">
        <v>462</v>
      </c>
      <c r="C746" s="2" t="s">
        <v>294</v>
      </c>
      <c r="D746" s="2" t="s">
        <v>295</v>
      </c>
      <c r="E746" s="2" t="s">
        <v>213</v>
      </c>
      <c r="F746" s="2"/>
      <c r="G746" s="4">
        <v>3</v>
      </c>
      <c r="H746" s="3">
        <v>30.79</v>
      </c>
      <c r="I746" s="3">
        <v>-92.36</v>
      </c>
      <c r="J746" s="3"/>
    </row>
    <row r="747" spans="1:10" ht="15" customHeight="1" x14ac:dyDescent="0.25">
      <c r="A747" s="2" t="s">
        <v>92</v>
      </c>
      <c r="B747" s="2" t="s">
        <v>462</v>
      </c>
      <c r="C747" s="2" t="s">
        <v>294</v>
      </c>
      <c r="D747" s="2" t="s">
        <v>295</v>
      </c>
      <c r="E747" s="2" t="s">
        <v>213</v>
      </c>
      <c r="F747" s="2"/>
      <c r="G747" s="4">
        <v>1.8644475190000001</v>
      </c>
      <c r="H747" s="3">
        <v>30.79</v>
      </c>
      <c r="I747" s="3">
        <v>-57.4</v>
      </c>
      <c r="J747" s="3">
        <v>0.24</v>
      </c>
    </row>
    <row r="748" spans="1:10" ht="15" customHeight="1" x14ac:dyDescent="0.25">
      <c r="A748" s="2" t="s">
        <v>94</v>
      </c>
      <c r="B748" s="2" t="s">
        <v>463</v>
      </c>
      <c r="C748" s="2" t="s">
        <v>294</v>
      </c>
      <c r="D748" s="2" t="s">
        <v>295</v>
      </c>
      <c r="E748" s="2" t="s">
        <v>140</v>
      </c>
      <c r="F748" s="2"/>
      <c r="G748" s="4">
        <v>1</v>
      </c>
      <c r="H748" s="3">
        <v>26.5</v>
      </c>
      <c r="I748" s="3">
        <v>-26.5</v>
      </c>
      <c r="J748" s="3">
        <v>0.04</v>
      </c>
    </row>
    <row r="749" spans="1:10" ht="15" customHeight="1" x14ac:dyDescent="0.25">
      <c r="A749" s="2" t="s">
        <v>94</v>
      </c>
      <c r="B749" s="2" t="s">
        <v>463</v>
      </c>
      <c r="C749" s="2" t="s">
        <v>294</v>
      </c>
      <c r="D749" s="2" t="s">
        <v>295</v>
      </c>
      <c r="E749" s="2" t="s">
        <v>225</v>
      </c>
      <c r="F749" s="2"/>
      <c r="G749" s="4">
        <v>1</v>
      </c>
      <c r="H749" s="3">
        <v>34.4</v>
      </c>
      <c r="I749" s="3">
        <v>-34.4</v>
      </c>
      <c r="J749" s="3"/>
    </row>
    <row r="750" spans="1:10" ht="15" customHeight="1" x14ac:dyDescent="0.25">
      <c r="A750" s="2" t="s">
        <v>94</v>
      </c>
      <c r="B750" s="2" t="s">
        <v>463</v>
      </c>
      <c r="C750" s="2" t="s">
        <v>294</v>
      </c>
      <c r="D750" s="2" t="s">
        <v>295</v>
      </c>
      <c r="E750" s="2" t="s">
        <v>225</v>
      </c>
      <c r="F750" s="2"/>
      <c r="G750" s="4">
        <v>1.819767441</v>
      </c>
      <c r="H750" s="3">
        <v>34.4</v>
      </c>
      <c r="I750" s="3">
        <v>-62.6</v>
      </c>
      <c r="J750" s="3"/>
    </row>
    <row r="751" spans="1:10" ht="15" customHeight="1" x14ac:dyDescent="0.25">
      <c r="A751" s="2" t="s">
        <v>94</v>
      </c>
      <c r="B751" s="2" t="s">
        <v>463</v>
      </c>
      <c r="C751" s="2" t="s">
        <v>294</v>
      </c>
      <c r="D751" s="2" t="s">
        <v>295</v>
      </c>
      <c r="E751" s="2" t="s">
        <v>170</v>
      </c>
      <c r="F751" s="2"/>
      <c r="G751" s="4">
        <v>1</v>
      </c>
      <c r="H751" s="3">
        <v>46.34</v>
      </c>
      <c r="I751" s="3">
        <v>-46.34</v>
      </c>
      <c r="J751" s="3"/>
    </row>
    <row r="752" spans="1:10" ht="15" customHeight="1" x14ac:dyDescent="0.25">
      <c r="A752" s="2" t="s">
        <v>94</v>
      </c>
      <c r="B752" s="2" t="s">
        <v>463</v>
      </c>
      <c r="C752" s="2" t="s">
        <v>294</v>
      </c>
      <c r="D752" s="2" t="s">
        <v>295</v>
      </c>
      <c r="E752" s="2" t="s">
        <v>170</v>
      </c>
      <c r="F752" s="2"/>
      <c r="G752" s="4">
        <v>1.930082002</v>
      </c>
      <c r="H752" s="3">
        <v>46.34</v>
      </c>
      <c r="I752" s="3">
        <v>-89.44</v>
      </c>
      <c r="J752" s="3">
        <v>0.22</v>
      </c>
    </row>
    <row r="753" spans="1:10" ht="15" customHeight="1" x14ac:dyDescent="0.25">
      <c r="A753" s="2" t="s">
        <v>94</v>
      </c>
      <c r="B753" s="2" t="s">
        <v>463</v>
      </c>
      <c r="C753" s="2" t="s">
        <v>294</v>
      </c>
      <c r="D753" s="2" t="s">
        <v>295</v>
      </c>
      <c r="E753" s="2" t="s">
        <v>134</v>
      </c>
      <c r="F753" s="2"/>
      <c r="G753" s="4">
        <v>6</v>
      </c>
      <c r="H753" s="3">
        <v>25.52</v>
      </c>
      <c r="I753" s="3">
        <v>-153.12</v>
      </c>
      <c r="J753" s="3"/>
    </row>
    <row r="754" spans="1:10" ht="15" customHeight="1" x14ac:dyDescent="0.25">
      <c r="A754" s="2" t="s">
        <v>94</v>
      </c>
      <c r="B754" s="2" t="s">
        <v>463</v>
      </c>
      <c r="C754" s="2" t="s">
        <v>294</v>
      </c>
      <c r="D754" s="2" t="s">
        <v>295</v>
      </c>
      <c r="E754" s="2" t="s">
        <v>134</v>
      </c>
      <c r="F754" s="2"/>
      <c r="G754" s="4">
        <v>1.562695924</v>
      </c>
      <c r="H754" s="3">
        <v>25.52</v>
      </c>
      <c r="I754" s="3">
        <v>-39.880000000000003</v>
      </c>
      <c r="J754" s="3"/>
    </row>
    <row r="755" spans="1:10" ht="15" customHeight="1" x14ac:dyDescent="0.25">
      <c r="A755" s="2" t="s">
        <v>94</v>
      </c>
      <c r="B755" s="2" t="s">
        <v>463</v>
      </c>
      <c r="C755" s="2" t="s">
        <v>294</v>
      </c>
      <c r="D755" s="2" t="s">
        <v>295</v>
      </c>
      <c r="E755" s="2" t="s">
        <v>152</v>
      </c>
      <c r="F755" s="2"/>
      <c r="G755" s="4">
        <v>0.94385102499999995</v>
      </c>
      <c r="H755" s="3">
        <v>21.16</v>
      </c>
      <c r="I755" s="3">
        <v>-19.97</v>
      </c>
      <c r="J755" s="3">
        <v>0.03</v>
      </c>
    </row>
    <row r="756" spans="1:10" ht="15" customHeight="1" x14ac:dyDescent="0.25">
      <c r="A756" s="2" t="s">
        <v>94</v>
      </c>
      <c r="B756" s="2" t="s">
        <v>463</v>
      </c>
      <c r="C756" s="2" t="s">
        <v>294</v>
      </c>
      <c r="D756" s="2" t="s">
        <v>295</v>
      </c>
      <c r="E756" s="2" t="s">
        <v>145</v>
      </c>
      <c r="F756" s="2"/>
      <c r="G756" s="4">
        <v>6</v>
      </c>
      <c r="H756" s="3">
        <v>13.11</v>
      </c>
      <c r="I756" s="3">
        <v>-78.650000000000006</v>
      </c>
      <c r="J756" s="3"/>
    </row>
    <row r="757" spans="1:10" ht="15" customHeight="1" x14ac:dyDescent="0.25">
      <c r="A757" s="2" t="s">
        <v>94</v>
      </c>
      <c r="B757" s="2" t="s">
        <v>463</v>
      </c>
      <c r="C757" s="2" t="s">
        <v>294</v>
      </c>
      <c r="D757" s="2" t="s">
        <v>295</v>
      </c>
      <c r="E757" s="2" t="s">
        <v>145</v>
      </c>
      <c r="F757" s="2"/>
      <c r="G757" s="4">
        <v>1.387744514</v>
      </c>
      <c r="H757" s="3">
        <v>13.11</v>
      </c>
      <c r="I757" s="3">
        <v>-18.190000000000001</v>
      </c>
      <c r="J757" s="3">
        <v>0.16</v>
      </c>
    </row>
    <row r="758" spans="1:10" ht="15" customHeight="1" x14ac:dyDescent="0.25">
      <c r="A758" s="2" t="s">
        <v>94</v>
      </c>
      <c r="B758" s="2" t="s">
        <v>463</v>
      </c>
      <c r="C758" s="2" t="s">
        <v>294</v>
      </c>
      <c r="D758" s="2" t="s">
        <v>295</v>
      </c>
      <c r="E758" s="2" t="s">
        <v>244</v>
      </c>
      <c r="F758" s="2"/>
      <c r="G758" s="4">
        <v>3</v>
      </c>
      <c r="H758" s="3">
        <v>20.51</v>
      </c>
      <c r="I758" s="3">
        <v>-61.52</v>
      </c>
      <c r="J758" s="3"/>
    </row>
    <row r="759" spans="1:10" ht="15" customHeight="1" x14ac:dyDescent="0.25">
      <c r="A759" s="2" t="s">
        <v>94</v>
      </c>
      <c r="B759" s="2" t="s">
        <v>463</v>
      </c>
      <c r="C759" s="2" t="s">
        <v>294</v>
      </c>
      <c r="D759" s="2" t="s">
        <v>295</v>
      </c>
      <c r="E759" s="2" t="s">
        <v>244</v>
      </c>
      <c r="F759" s="2"/>
      <c r="G759" s="4">
        <v>1.7301578010000001</v>
      </c>
      <c r="H759" s="3">
        <v>20.51</v>
      </c>
      <c r="I759" s="3">
        <v>-35.479999999999997</v>
      </c>
      <c r="J759" s="3"/>
    </row>
    <row r="760" spans="1:10" ht="15" customHeight="1" x14ac:dyDescent="0.25">
      <c r="A760" s="2" t="s">
        <v>94</v>
      </c>
      <c r="B760" s="2" t="s">
        <v>463</v>
      </c>
      <c r="C760" s="2" t="s">
        <v>294</v>
      </c>
      <c r="D760" s="2" t="s">
        <v>295</v>
      </c>
      <c r="E760" s="2" t="s">
        <v>213</v>
      </c>
      <c r="F760" s="2"/>
      <c r="G760" s="4">
        <v>2</v>
      </c>
      <c r="H760" s="3">
        <v>30.57</v>
      </c>
      <c r="I760" s="3">
        <v>-61.13</v>
      </c>
      <c r="J760" s="3"/>
    </row>
    <row r="761" spans="1:10" ht="15" customHeight="1" x14ac:dyDescent="0.25">
      <c r="A761" s="2" t="s">
        <v>94</v>
      </c>
      <c r="B761" s="2" t="s">
        <v>463</v>
      </c>
      <c r="C761" s="2" t="s">
        <v>294</v>
      </c>
      <c r="D761" s="2" t="s">
        <v>295</v>
      </c>
      <c r="E761" s="2" t="s">
        <v>213</v>
      </c>
      <c r="F761" s="2"/>
      <c r="G761" s="4">
        <v>1.1682571669999999</v>
      </c>
      <c r="H761" s="3">
        <v>30.57</v>
      </c>
      <c r="I761" s="3">
        <v>-35.71</v>
      </c>
      <c r="J761" s="3">
        <v>0.16</v>
      </c>
    </row>
    <row r="762" spans="1:10" ht="15" customHeight="1" x14ac:dyDescent="0.25">
      <c r="A762" s="2" t="s">
        <v>94</v>
      </c>
      <c r="B762" s="2" t="s">
        <v>463</v>
      </c>
      <c r="C762" s="2" t="s">
        <v>294</v>
      </c>
      <c r="D762" s="2" t="s">
        <v>295</v>
      </c>
      <c r="E762" s="2" t="s">
        <v>190</v>
      </c>
      <c r="F762" s="2"/>
      <c r="G762" s="4">
        <v>4</v>
      </c>
      <c r="H762" s="3">
        <v>26.17</v>
      </c>
      <c r="I762" s="3">
        <v>-104.67</v>
      </c>
      <c r="J762" s="3"/>
    </row>
    <row r="763" spans="1:10" ht="15" customHeight="1" x14ac:dyDescent="0.25">
      <c r="A763" s="2" t="s">
        <v>94</v>
      </c>
      <c r="B763" s="2" t="s">
        <v>463</v>
      </c>
      <c r="C763" s="2" t="s">
        <v>294</v>
      </c>
      <c r="D763" s="2" t="s">
        <v>295</v>
      </c>
      <c r="E763" s="2" t="s">
        <v>190</v>
      </c>
      <c r="F763" s="2"/>
      <c r="G763" s="4">
        <v>1.341766346</v>
      </c>
      <c r="H763" s="3">
        <v>26.17</v>
      </c>
      <c r="I763" s="3">
        <v>-35.11</v>
      </c>
      <c r="J763" s="3">
        <v>0.22</v>
      </c>
    </row>
    <row r="764" spans="1:10" ht="15" customHeight="1" x14ac:dyDescent="0.25">
      <c r="A764" s="2" t="s">
        <v>94</v>
      </c>
      <c r="B764" s="2" t="s">
        <v>463</v>
      </c>
      <c r="C764" s="2" t="s">
        <v>294</v>
      </c>
      <c r="D764" s="2" t="s">
        <v>295</v>
      </c>
      <c r="E764" s="2" t="s">
        <v>136</v>
      </c>
      <c r="F764" s="2"/>
      <c r="G764" s="4">
        <v>2</v>
      </c>
      <c r="H764" s="3">
        <v>25.05</v>
      </c>
      <c r="I764" s="3">
        <v>-50.09</v>
      </c>
      <c r="J764" s="3"/>
    </row>
    <row r="765" spans="1:10" ht="15" customHeight="1" x14ac:dyDescent="0.25">
      <c r="A765" s="2" t="s">
        <v>94</v>
      </c>
      <c r="B765" s="2" t="s">
        <v>463</v>
      </c>
      <c r="C765" s="2" t="s">
        <v>294</v>
      </c>
      <c r="D765" s="2" t="s">
        <v>295</v>
      </c>
      <c r="E765" s="2" t="s">
        <v>136</v>
      </c>
      <c r="F765" s="2"/>
      <c r="G765" s="4">
        <v>1.8665058999999999</v>
      </c>
      <c r="H765" s="3">
        <v>25.05</v>
      </c>
      <c r="I765" s="3">
        <v>-46.75</v>
      </c>
      <c r="J765" s="3">
        <v>0.16</v>
      </c>
    </row>
    <row r="766" spans="1:10" ht="15" customHeight="1" x14ac:dyDescent="0.25">
      <c r="A766" s="2" t="s">
        <v>94</v>
      </c>
      <c r="B766" s="2" t="s">
        <v>464</v>
      </c>
      <c r="C766" s="2" t="s">
        <v>294</v>
      </c>
      <c r="D766" s="2" t="s">
        <v>295</v>
      </c>
      <c r="E766" s="2" t="s">
        <v>213</v>
      </c>
      <c r="F766" s="2"/>
      <c r="G766" s="4">
        <v>7</v>
      </c>
      <c r="H766" s="3">
        <v>30.51</v>
      </c>
      <c r="I766" s="3">
        <v>-213.55</v>
      </c>
      <c r="J766" s="3"/>
    </row>
    <row r="767" spans="1:10" ht="15" customHeight="1" x14ac:dyDescent="0.25">
      <c r="A767" s="2" t="s">
        <v>94</v>
      </c>
      <c r="B767" s="2" t="s">
        <v>464</v>
      </c>
      <c r="C767" s="2" t="s">
        <v>294</v>
      </c>
      <c r="D767" s="2" t="s">
        <v>295</v>
      </c>
      <c r="E767" s="2" t="s">
        <v>213</v>
      </c>
      <c r="F767" s="2"/>
      <c r="G767" s="4">
        <v>1.1817037509999999</v>
      </c>
      <c r="H767" s="3">
        <v>30.51</v>
      </c>
      <c r="I767" s="3">
        <v>-36.049999999999997</v>
      </c>
      <c r="J767" s="3">
        <v>0.4</v>
      </c>
    </row>
    <row r="768" spans="1:10" ht="15" customHeight="1" x14ac:dyDescent="0.25">
      <c r="A768" s="2" t="s">
        <v>94</v>
      </c>
      <c r="B768" s="2" t="s">
        <v>464</v>
      </c>
      <c r="C768" s="2" t="s">
        <v>294</v>
      </c>
      <c r="D768" s="2" t="s">
        <v>295</v>
      </c>
      <c r="E768" s="2" t="s">
        <v>283</v>
      </c>
      <c r="F768" s="2"/>
      <c r="G768" s="4">
        <v>0.58089422899999998</v>
      </c>
      <c r="H768" s="3">
        <v>264.99</v>
      </c>
      <c r="I768" s="3">
        <v>-153.93</v>
      </c>
      <c r="J768" s="3">
        <v>0.25</v>
      </c>
    </row>
    <row r="769" spans="1:10" ht="15" customHeight="1" x14ac:dyDescent="0.25">
      <c r="A769" s="2" t="s">
        <v>94</v>
      </c>
      <c r="B769" s="2" t="s">
        <v>464</v>
      </c>
      <c r="C769" s="2" t="s">
        <v>294</v>
      </c>
      <c r="D769" s="2" t="s">
        <v>295</v>
      </c>
      <c r="E769" s="2" t="s">
        <v>285</v>
      </c>
      <c r="F769" s="2"/>
      <c r="G769" s="4">
        <v>1</v>
      </c>
      <c r="H769" s="3">
        <v>46.35</v>
      </c>
      <c r="I769" s="3">
        <v>-46.35</v>
      </c>
      <c r="J769" s="3"/>
    </row>
    <row r="770" spans="1:10" ht="15" customHeight="1" x14ac:dyDescent="0.25">
      <c r="A770" s="2" t="s">
        <v>94</v>
      </c>
      <c r="B770" s="2" t="s">
        <v>464</v>
      </c>
      <c r="C770" s="2" t="s">
        <v>294</v>
      </c>
      <c r="D770" s="2" t="s">
        <v>295</v>
      </c>
      <c r="E770" s="2" t="s">
        <v>285</v>
      </c>
      <c r="F770" s="2"/>
      <c r="G770" s="4">
        <v>1.154169813</v>
      </c>
      <c r="H770" s="3">
        <v>46.35</v>
      </c>
      <c r="I770" s="3">
        <v>-53.49</v>
      </c>
      <c r="J770" s="3">
        <v>0.16</v>
      </c>
    </row>
    <row r="771" spans="1:10" ht="15" customHeight="1" x14ac:dyDescent="0.25">
      <c r="A771" s="2" t="s">
        <v>94</v>
      </c>
      <c r="B771" s="2" t="s">
        <v>465</v>
      </c>
      <c r="C771" s="2" t="s">
        <v>294</v>
      </c>
      <c r="D771" s="2" t="s">
        <v>295</v>
      </c>
      <c r="E771" s="2" t="s">
        <v>115</v>
      </c>
      <c r="F771" s="2"/>
      <c r="G771" s="4">
        <v>0.84280371700000001</v>
      </c>
      <c r="H771" s="3">
        <v>110.17</v>
      </c>
      <c r="I771" s="3">
        <v>-92.85</v>
      </c>
      <c r="J771" s="3">
        <v>0.15</v>
      </c>
    </row>
    <row r="772" spans="1:10" ht="15" customHeight="1" x14ac:dyDescent="0.25">
      <c r="A772" s="2" t="s">
        <v>94</v>
      </c>
      <c r="B772" s="2" t="s">
        <v>466</v>
      </c>
      <c r="C772" s="2" t="s">
        <v>294</v>
      </c>
      <c r="D772" s="2" t="s">
        <v>295</v>
      </c>
      <c r="E772" s="2" t="s">
        <v>272</v>
      </c>
      <c r="F772" s="2"/>
      <c r="G772" s="4">
        <v>0.18798826599999999</v>
      </c>
      <c r="H772" s="3">
        <v>996.13</v>
      </c>
      <c r="I772" s="3">
        <v>-187.26</v>
      </c>
      <c r="J772" s="3">
        <v>0.3</v>
      </c>
    </row>
    <row r="773" spans="1:10" ht="15" customHeight="1" x14ac:dyDescent="0.25">
      <c r="A773" s="2" t="s">
        <v>94</v>
      </c>
      <c r="B773" s="2" t="s">
        <v>466</v>
      </c>
      <c r="C773" s="2" t="s">
        <v>294</v>
      </c>
      <c r="D773" s="2" t="s">
        <v>295</v>
      </c>
      <c r="E773" s="2" t="s">
        <v>183</v>
      </c>
      <c r="F773" s="2"/>
      <c r="G773" s="4">
        <v>1.4285714279999999</v>
      </c>
      <c r="H773" s="3">
        <v>25.86</v>
      </c>
      <c r="I773" s="3">
        <v>-36.94</v>
      </c>
      <c r="J773" s="3">
        <v>0.06</v>
      </c>
    </row>
    <row r="774" spans="1:10" ht="15" customHeight="1" x14ac:dyDescent="0.25">
      <c r="A774" s="2" t="s">
        <v>94</v>
      </c>
      <c r="B774" s="2" t="s">
        <v>466</v>
      </c>
      <c r="C774" s="2" t="s">
        <v>294</v>
      </c>
      <c r="D774" s="2" t="s">
        <v>295</v>
      </c>
      <c r="E774" s="2" t="s">
        <v>166</v>
      </c>
      <c r="F774" s="2"/>
      <c r="G774" s="4">
        <v>1.0991192890000001</v>
      </c>
      <c r="H774" s="3">
        <v>50.87</v>
      </c>
      <c r="I774" s="3">
        <v>-55.91</v>
      </c>
      <c r="J774" s="3">
        <v>0.09</v>
      </c>
    </row>
    <row r="775" spans="1:10" ht="15" customHeight="1" x14ac:dyDescent="0.25">
      <c r="A775" s="2" t="s">
        <v>94</v>
      </c>
      <c r="B775" s="2" t="s">
        <v>466</v>
      </c>
      <c r="C775" s="2" t="s">
        <v>294</v>
      </c>
      <c r="D775" s="2" t="s">
        <v>295</v>
      </c>
      <c r="E775" s="2" t="s">
        <v>127</v>
      </c>
      <c r="F775" s="2"/>
      <c r="G775" s="4">
        <v>1</v>
      </c>
      <c r="H775" s="3">
        <v>25.45</v>
      </c>
      <c r="I775" s="3">
        <v>-25.45</v>
      </c>
      <c r="J775" s="3"/>
    </row>
    <row r="776" spans="1:10" ht="15" customHeight="1" x14ac:dyDescent="0.25">
      <c r="A776" s="2" t="s">
        <v>94</v>
      </c>
      <c r="B776" s="2" t="s">
        <v>466</v>
      </c>
      <c r="C776" s="2" t="s">
        <v>294</v>
      </c>
      <c r="D776" s="2" t="s">
        <v>295</v>
      </c>
      <c r="E776" s="2" t="s">
        <v>127</v>
      </c>
      <c r="F776" s="2"/>
      <c r="G776" s="4">
        <v>1.1968612839999999</v>
      </c>
      <c r="H776" s="3">
        <v>25.45</v>
      </c>
      <c r="I776" s="3">
        <v>-30.46</v>
      </c>
      <c r="J776" s="3">
        <v>0.09</v>
      </c>
    </row>
    <row r="777" spans="1:10" ht="15" customHeight="1" x14ac:dyDescent="0.25">
      <c r="A777" s="2" t="s">
        <v>94</v>
      </c>
      <c r="B777" s="2" t="s">
        <v>466</v>
      </c>
      <c r="C777" s="2" t="s">
        <v>294</v>
      </c>
      <c r="D777" s="2" t="s">
        <v>295</v>
      </c>
      <c r="E777" s="2" t="s">
        <v>132</v>
      </c>
      <c r="F777" s="2"/>
      <c r="G777" s="4">
        <v>1</v>
      </c>
      <c r="H777" s="3">
        <v>13.59</v>
      </c>
      <c r="I777" s="3">
        <v>-13.59</v>
      </c>
      <c r="J777" s="3"/>
    </row>
    <row r="778" spans="1:10" ht="15" customHeight="1" x14ac:dyDescent="0.25">
      <c r="A778" s="2" t="s">
        <v>94</v>
      </c>
      <c r="B778" s="2" t="s">
        <v>466</v>
      </c>
      <c r="C778" s="2" t="s">
        <v>294</v>
      </c>
      <c r="D778" s="2" t="s">
        <v>295</v>
      </c>
      <c r="E778" s="2" t="s">
        <v>132</v>
      </c>
      <c r="F778" s="2"/>
      <c r="G778" s="4">
        <v>1.718187771</v>
      </c>
      <c r="H778" s="3">
        <v>13.59</v>
      </c>
      <c r="I778" s="3">
        <v>-23.35</v>
      </c>
      <c r="J778" s="3">
        <v>0.06</v>
      </c>
    </row>
    <row r="779" spans="1:10" ht="15" customHeight="1" x14ac:dyDescent="0.25">
      <c r="A779" s="2" t="s">
        <v>94</v>
      </c>
      <c r="B779" s="2" t="s">
        <v>466</v>
      </c>
      <c r="C779" s="2" t="s">
        <v>294</v>
      </c>
      <c r="D779" s="2" t="s">
        <v>295</v>
      </c>
      <c r="E779" s="2" t="s">
        <v>143</v>
      </c>
      <c r="F779" s="2"/>
      <c r="G779" s="4">
        <v>0.73122451399999999</v>
      </c>
      <c r="H779" s="3">
        <v>50.52</v>
      </c>
      <c r="I779" s="3">
        <v>-36.94</v>
      </c>
      <c r="J779" s="3">
        <v>0.06</v>
      </c>
    </row>
    <row r="780" spans="1:10" ht="15" customHeight="1" x14ac:dyDescent="0.25">
      <c r="A780" s="2" t="s">
        <v>94</v>
      </c>
      <c r="B780" s="2" t="s">
        <v>466</v>
      </c>
      <c r="C780" s="2" t="s">
        <v>294</v>
      </c>
      <c r="D780" s="2" t="s">
        <v>295</v>
      </c>
      <c r="E780" s="2" t="s">
        <v>185</v>
      </c>
      <c r="F780" s="2"/>
      <c r="G780" s="4">
        <v>1.5770150270000001</v>
      </c>
      <c r="H780" s="3">
        <v>46.85</v>
      </c>
      <c r="I780" s="3">
        <v>-73.88</v>
      </c>
      <c r="J780" s="3">
        <v>0.12</v>
      </c>
    </row>
    <row r="781" spans="1:10" ht="15" customHeight="1" x14ac:dyDescent="0.25">
      <c r="A781" s="2" t="s">
        <v>94</v>
      </c>
      <c r="B781" s="2" t="s">
        <v>466</v>
      </c>
      <c r="C781" s="2" t="s">
        <v>294</v>
      </c>
      <c r="D781" s="2" t="s">
        <v>295</v>
      </c>
      <c r="E781" s="2" t="s">
        <v>218</v>
      </c>
      <c r="F781" s="2"/>
      <c r="G781" s="4">
        <v>1.613155425</v>
      </c>
      <c r="H781" s="3">
        <v>57.56</v>
      </c>
      <c r="I781" s="3">
        <v>-92.85</v>
      </c>
      <c r="J781" s="3">
        <v>0.15</v>
      </c>
    </row>
    <row r="782" spans="1:10" ht="15" customHeight="1" x14ac:dyDescent="0.25">
      <c r="A782" s="2" t="s">
        <v>94</v>
      </c>
      <c r="B782" s="2" t="s">
        <v>466</v>
      </c>
      <c r="C782" s="2" t="s">
        <v>294</v>
      </c>
      <c r="D782" s="2" t="s">
        <v>295</v>
      </c>
      <c r="E782" s="2" t="s">
        <v>152</v>
      </c>
      <c r="F782" s="2"/>
      <c r="G782" s="4">
        <v>0.85012773200000002</v>
      </c>
      <c r="H782" s="3">
        <v>21.14</v>
      </c>
      <c r="I782" s="3">
        <v>-17.97</v>
      </c>
      <c r="J782" s="3">
        <v>0.03</v>
      </c>
    </row>
    <row r="783" spans="1:10" ht="15" customHeight="1" x14ac:dyDescent="0.25">
      <c r="A783" s="2" t="s">
        <v>94</v>
      </c>
      <c r="B783" s="2" t="s">
        <v>466</v>
      </c>
      <c r="C783" s="2" t="s">
        <v>294</v>
      </c>
      <c r="D783" s="2" t="s">
        <v>295</v>
      </c>
      <c r="E783" s="2" t="s">
        <v>145</v>
      </c>
      <c r="F783" s="2"/>
      <c r="G783" s="4">
        <v>1</v>
      </c>
      <c r="H783" s="3">
        <v>13.46</v>
      </c>
      <c r="I783" s="3">
        <v>-13.46</v>
      </c>
      <c r="J783" s="3"/>
    </row>
    <row r="784" spans="1:10" ht="15" customHeight="1" x14ac:dyDescent="0.25">
      <c r="A784" s="2" t="s">
        <v>94</v>
      </c>
      <c r="B784" s="2" t="s">
        <v>466</v>
      </c>
      <c r="C784" s="2" t="s">
        <v>294</v>
      </c>
      <c r="D784" s="2" t="s">
        <v>295</v>
      </c>
      <c r="E784" s="2" t="s">
        <v>145</v>
      </c>
      <c r="F784" s="2"/>
      <c r="G784" s="4">
        <v>1.7445575449999999</v>
      </c>
      <c r="H784" s="3">
        <v>13.46</v>
      </c>
      <c r="I784" s="3">
        <v>-23.48</v>
      </c>
      <c r="J784" s="3">
        <v>0.06</v>
      </c>
    </row>
    <row r="785" spans="1:10" ht="15" customHeight="1" x14ac:dyDescent="0.25">
      <c r="A785" s="2" t="s">
        <v>94</v>
      </c>
      <c r="B785" s="2" t="s">
        <v>466</v>
      </c>
      <c r="C785" s="2" t="s">
        <v>294</v>
      </c>
      <c r="D785" s="2" t="s">
        <v>295</v>
      </c>
      <c r="E785" s="2" t="s">
        <v>154</v>
      </c>
      <c r="F785" s="2"/>
      <c r="G785" s="4">
        <v>1.4604108330000001</v>
      </c>
      <c r="H785" s="3">
        <v>63.58</v>
      </c>
      <c r="I785" s="3">
        <v>-92.85</v>
      </c>
      <c r="J785" s="3">
        <v>0.15</v>
      </c>
    </row>
    <row r="786" spans="1:10" ht="15" customHeight="1" x14ac:dyDescent="0.25">
      <c r="A786" s="2" t="s">
        <v>94</v>
      </c>
      <c r="B786" s="2" t="s">
        <v>466</v>
      </c>
      <c r="C786" s="2" t="s">
        <v>294</v>
      </c>
      <c r="D786" s="2" t="s">
        <v>295</v>
      </c>
      <c r="E786" s="2" t="s">
        <v>244</v>
      </c>
      <c r="F786" s="2"/>
      <c r="G786" s="4">
        <v>1</v>
      </c>
      <c r="H786" s="3">
        <v>21.17</v>
      </c>
      <c r="I786" s="3">
        <v>-21.17</v>
      </c>
      <c r="J786" s="3"/>
    </row>
    <row r="787" spans="1:10" ht="15" customHeight="1" x14ac:dyDescent="0.25">
      <c r="A787" s="2" t="s">
        <v>94</v>
      </c>
      <c r="B787" s="2" t="s">
        <v>466</v>
      </c>
      <c r="C787" s="2" t="s">
        <v>294</v>
      </c>
      <c r="D787" s="2" t="s">
        <v>295</v>
      </c>
      <c r="E787" s="2" t="s">
        <v>244</v>
      </c>
      <c r="F787" s="2"/>
      <c r="G787" s="4">
        <v>1.6412572569999999</v>
      </c>
      <c r="H787" s="3">
        <v>21.17</v>
      </c>
      <c r="I787" s="3">
        <v>-34.74</v>
      </c>
      <c r="J787" s="3">
        <v>0.09</v>
      </c>
    </row>
    <row r="788" spans="1:10" ht="15" customHeight="1" x14ac:dyDescent="0.25">
      <c r="A788" s="2" t="s">
        <v>94</v>
      </c>
      <c r="B788" s="2" t="s">
        <v>466</v>
      </c>
      <c r="C788" s="2" t="s">
        <v>294</v>
      </c>
      <c r="D788" s="2" t="s">
        <v>295</v>
      </c>
      <c r="E788" s="2" t="s">
        <v>129</v>
      </c>
      <c r="F788" s="2"/>
      <c r="G788" s="4">
        <v>1</v>
      </c>
      <c r="H788" s="3">
        <v>49.05</v>
      </c>
      <c r="I788" s="3">
        <v>-49.05</v>
      </c>
      <c r="J788" s="3">
        <v>0.08</v>
      </c>
    </row>
    <row r="789" spans="1:10" ht="15" customHeight="1" x14ac:dyDescent="0.25">
      <c r="A789" s="2" t="s">
        <v>94</v>
      </c>
      <c r="B789" s="2" t="s">
        <v>466</v>
      </c>
      <c r="C789" s="2" t="s">
        <v>294</v>
      </c>
      <c r="D789" s="2" t="s">
        <v>295</v>
      </c>
      <c r="E789" s="2" t="s">
        <v>196</v>
      </c>
      <c r="F789" s="2"/>
      <c r="G789" s="4">
        <v>2</v>
      </c>
      <c r="H789" s="3">
        <v>25.73</v>
      </c>
      <c r="I789" s="3">
        <v>-51.45</v>
      </c>
      <c r="J789" s="3"/>
    </row>
    <row r="790" spans="1:10" ht="15" customHeight="1" x14ac:dyDescent="0.25">
      <c r="A790" s="2" t="s">
        <v>94</v>
      </c>
      <c r="B790" s="2" t="s">
        <v>466</v>
      </c>
      <c r="C790" s="2" t="s">
        <v>294</v>
      </c>
      <c r="D790" s="2" t="s">
        <v>295</v>
      </c>
      <c r="E790" s="2" t="s">
        <v>196</v>
      </c>
      <c r="F790" s="2"/>
      <c r="G790" s="4">
        <v>1.6092231020000001</v>
      </c>
      <c r="H790" s="3">
        <v>25.73</v>
      </c>
      <c r="I790" s="3">
        <v>-41.4</v>
      </c>
      <c r="J790" s="3">
        <v>0.15</v>
      </c>
    </row>
    <row r="791" spans="1:10" ht="15" customHeight="1" x14ac:dyDescent="0.25">
      <c r="A791" s="2" t="s">
        <v>94</v>
      </c>
      <c r="B791" s="2" t="s">
        <v>466</v>
      </c>
      <c r="C791" s="2" t="s">
        <v>294</v>
      </c>
      <c r="D791" s="2" t="s">
        <v>295</v>
      </c>
      <c r="E791" s="2" t="s">
        <v>119</v>
      </c>
      <c r="F791" s="2"/>
      <c r="G791" s="4">
        <v>0.73513900700000001</v>
      </c>
      <c r="H791" s="3">
        <v>100.5</v>
      </c>
      <c r="I791" s="3">
        <v>-73.88</v>
      </c>
      <c r="J791" s="3">
        <v>0.12</v>
      </c>
    </row>
    <row r="792" spans="1:10" ht="15" customHeight="1" x14ac:dyDescent="0.25">
      <c r="A792" s="2" t="s">
        <v>94</v>
      </c>
      <c r="B792" s="2" t="s">
        <v>466</v>
      </c>
      <c r="C792" s="2" t="s">
        <v>294</v>
      </c>
      <c r="D792" s="2" t="s">
        <v>295</v>
      </c>
      <c r="E792" s="2" t="s">
        <v>162</v>
      </c>
      <c r="F792" s="2"/>
      <c r="G792" s="4">
        <v>1</v>
      </c>
      <c r="H792" s="3">
        <v>25.07</v>
      </c>
      <c r="I792" s="3">
        <v>-25.07</v>
      </c>
      <c r="J792" s="3"/>
    </row>
    <row r="793" spans="1:10" ht="15" customHeight="1" x14ac:dyDescent="0.25">
      <c r="A793" s="2" t="s">
        <v>94</v>
      </c>
      <c r="B793" s="2" t="s">
        <v>466</v>
      </c>
      <c r="C793" s="2" t="s">
        <v>294</v>
      </c>
      <c r="D793" s="2" t="s">
        <v>295</v>
      </c>
      <c r="E793" s="2" t="s">
        <v>162</v>
      </c>
      <c r="F793" s="2"/>
      <c r="G793" s="4">
        <v>1.2303175120000001</v>
      </c>
      <c r="H793" s="3">
        <v>25.07</v>
      </c>
      <c r="I793" s="3">
        <v>-30.84</v>
      </c>
      <c r="J793" s="3">
        <v>0.09</v>
      </c>
    </row>
    <row r="794" spans="1:10" ht="15" customHeight="1" x14ac:dyDescent="0.25">
      <c r="A794" s="2" t="s">
        <v>94</v>
      </c>
      <c r="B794" s="2" t="s">
        <v>466</v>
      </c>
      <c r="C794" s="2" t="s">
        <v>294</v>
      </c>
      <c r="D794" s="2" t="s">
        <v>295</v>
      </c>
      <c r="E794" s="2" t="s">
        <v>190</v>
      </c>
      <c r="F794" s="2"/>
      <c r="G794" s="4">
        <v>1</v>
      </c>
      <c r="H794" s="3">
        <v>26.99</v>
      </c>
      <c r="I794" s="3">
        <v>-26.99</v>
      </c>
      <c r="J794" s="3"/>
    </row>
    <row r="795" spans="1:10" ht="15" customHeight="1" x14ac:dyDescent="0.25">
      <c r="A795" s="2" t="s">
        <v>94</v>
      </c>
      <c r="B795" s="2" t="s">
        <v>466</v>
      </c>
      <c r="C795" s="2" t="s">
        <v>294</v>
      </c>
      <c r="D795" s="2" t="s">
        <v>295</v>
      </c>
      <c r="E795" s="2" t="s">
        <v>190</v>
      </c>
      <c r="F795" s="2"/>
      <c r="G795" s="4">
        <v>1.2193404960000001</v>
      </c>
      <c r="H795" s="3">
        <v>26.99</v>
      </c>
      <c r="I795" s="3">
        <v>-32.909999999999997</v>
      </c>
      <c r="J795" s="3">
        <v>0.1</v>
      </c>
    </row>
    <row r="796" spans="1:10" ht="15" customHeight="1" x14ac:dyDescent="0.25">
      <c r="A796" s="2" t="s">
        <v>94</v>
      </c>
      <c r="B796" s="2" t="s">
        <v>467</v>
      </c>
      <c r="C796" s="2" t="s">
        <v>294</v>
      </c>
      <c r="D796" s="2" t="s">
        <v>345</v>
      </c>
      <c r="E796" s="2" t="s">
        <v>240</v>
      </c>
      <c r="F796" s="2"/>
      <c r="G796" s="4">
        <v>-3</v>
      </c>
      <c r="H796" s="3">
        <v>60.92</v>
      </c>
      <c r="I796" s="3">
        <v>182.76</v>
      </c>
      <c r="J796" s="3"/>
    </row>
    <row r="797" spans="1:10" ht="15" customHeight="1" x14ac:dyDescent="0.25">
      <c r="A797" s="2" t="s">
        <v>94</v>
      </c>
      <c r="B797" s="2" t="s">
        <v>467</v>
      </c>
      <c r="C797" s="2" t="s">
        <v>294</v>
      </c>
      <c r="D797" s="2" t="s">
        <v>345</v>
      </c>
      <c r="E797" s="2" t="s">
        <v>240</v>
      </c>
      <c r="F797" s="2"/>
      <c r="G797" s="4">
        <v>-0.17786132199999999</v>
      </c>
      <c r="H797" s="3">
        <v>60.92</v>
      </c>
      <c r="I797" s="3">
        <v>10.84</v>
      </c>
      <c r="J797" s="3">
        <v>0.31</v>
      </c>
    </row>
    <row r="798" spans="1:10" ht="15" customHeight="1" x14ac:dyDescent="0.25">
      <c r="A798" s="2" t="s">
        <v>94</v>
      </c>
      <c r="B798" s="2" t="s">
        <v>467</v>
      </c>
      <c r="C798" s="2" t="s">
        <v>294</v>
      </c>
      <c r="D798" s="2" t="s">
        <v>295</v>
      </c>
      <c r="E798" s="2" t="s">
        <v>276</v>
      </c>
      <c r="F798" s="2"/>
      <c r="G798" s="4">
        <v>1.611918363</v>
      </c>
      <c r="H798" s="3">
        <v>96.62</v>
      </c>
      <c r="I798" s="3">
        <v>-155.75</v>
      </c>
      <c r="J798" s="3">
        <v>0.25</v>
      </c>
    </row>
    <row r="799" spans="1:10" ht="15" customHeight="1" x14ac:dyDescent="0.25">
      <c r="A799" s="2" t="s">
        <v>94</v>
      </c>
      <c r="B799" s="2" t="s">
        <v>467</v>
      </c>
      <c r="C799" s="2" t="s">
        <v>294</v>
      </c>
      <c r="D799" s="2" t="s">
        <v>345</v>
      </c>
      <c r="E799" s="2" t="s">
        <v>254</v>
      </c>
      <c r="F799" s="2"/>
      <c r="G799" s="4">
        <v>-2</v>
      </c>
      <c r="H799" s="3">
        <v>34.93</v>
      </c>
      <c r="I799" s="3">
        <v>69.86</v>
      </c>
      <c r="J799" s="3"/>
    </row>
    <row r="800" spans="1:10" ht="15" customHeight="1" x14ac:dyDescent="0.25">
      <c r="A800" s="2" t="s">
        <v>94</v>
      </c>
      <c r="B800" s="2" t="s">
        <v>467</v>
      </c>
      <c r="C800" s="2" t="s">
        <v>294</v>
      </c>
      <c r="D800" s="2" t="s">
        <v>345</v>
      </c>
      <c r="E800" s="2" t="s">
        <v>254</v>
      </c>
      <c r="F800" s="2"/>
      <c r="G800" s="4">
        <v>-0.42997289</v>
      </c>
      <c r="H800" s="3">
        <v>34.93</v>
      </c>
      <c r="I800" s="3">
        <v>15.02</v>
      </c>
      <c r="J800" s="3">
        <v>0.14000000000000001</v>
      </c>
    </row>
    <row r="801" spans="1:10" ht="15" customHeight="1" x14ac:dyDescent="0.25">
      <c r="A801" s="2" t="s">
        <v>94</v>
      </c>
      <c r="B801" s="2" t="s">
        <v>467</v>
      </c>
      <c r="C801" s="2" t="s">
        <v>294</v>
      </c>
      <c r="D801" s="2" t="s">
        <v>345</v>
      </c>
      <c r="E801" s="2" t="s">
        <v>222</v>
      </c>
      <c r="F801" s="2"/>
      <c r="G801" s="4">
        <v>-13</v>
      </c>
      <c r="H801" s="3">
        <v>2.89</v>
      </c>
      <c r="I801" s="3">
        <v>37.61</v>
      </c>
      <c r="J801" s="3"/>
    </row>
    <row r="802" spans="1:10" ht="15" customHeight="1" x14ac:dyDescent="0.25">
      <c r="A802" s="2" t="s">
        <v>94</v>
      </c>
      <c r="B802" s="2" t="s">
        <v>467</v>
      </c>
      <c r="C802" s="2" t="s">
        <v>294</v>
      </c>
      <c r="D802" s="2" t="s">
        <v>345</v>
      </c>
      <c r="E802" s="2" t="s">
        <v>222</v>
      </c>
      <c r="F802" s="2"/>
      <c r="G802" s="4">
        <v>-0.37019359600000001</v>
      </c>
      <c r="H802" s="3">
        <v>2.89</v>
      </c>
      <c r="I802" s="3">
        <v>1.07</v>
      </c>
      <c r="J802" s="3">
        <v>0.14000000000000001</v>
      </c>
    </row>
    <row r="803" spans="1:10" ht="15" customHeight="1" x14ac:dyDescent="0.25">
      <c r="A803" s="2" t="s">
        <v>94</v>
      </c>
      <c r="B803" s="2" t="s">
        <v>467</v>
      </c>
      <c r="C803" s="2" t="s">
        <v>294</v>
      </c>
      <c r="D803" s="2" t="s">
        <v>345</v>
      </c>
      <c r="E803" s="2" t="s">
        <v>270</v>
      </c>
      <c r="F803" s="2"/>
      <c r="G803" s="4">
        <v>-1</v>
      </c>
      <c r="H803" s="3">
        <v>0.13</v>
      </c>
      <c r="I803" s="3">
        <v>13</v>
      </c>
      <c r="J803" s="3"/>
    </row>
    <row r="804" spans="1:10" ht="15" customHeight="1" x14ac:dyDescent="0.25">
      <c r="A804" s="2" t="s">
        <v>94</v>
      </c>
      <c r="B804" s="2" t="s">
        <v>468</v>
      </c>
      <c r="C804" s="2" t="s">
        <v>294</v>
      </c>
      <c r="D804" s="2" t="s">
        <v>345</v>
      </c>
      <c r="E804" s="2" t="s">
        <v>158</v>
      </c>
      <c r="F804" s="2"/>
      <c r="G804" s="4">
        <v>-22</v>
      </c>
      <c r="H804" s="3">
        <v>11.34</v>
      </c>
      <c r="I804" s="3">
        <v>249.48</v>
      </c>
      <c r="J804" s="3"/>
    </row>
    <row r="805" spans="1:10" ht="15" customHeight="1" x14ac:dyDescent="0.25">
      <c r="A805" s="2" t="s">
        <v>94</v>
      </c>
      <c r="B805" s="2" t="s">
        <v>468</v>
      </c>
      <c r="C805" s="2" t="s">
        <v>294</v>
      </c>
      <c r="D805" s="2" t="s">
        <v>345</v>
      </c>
      <c r="E805" s="2" t="s">
        <v>158</v>
      </c>
      <c r="F805" s="2"/>
      <c r="G805" s="4">
        <v>-0.89518790400000003</v>
      </c>
      <c r="H805" s="3">
        <v>11.34</v>
      </c>
      <c r="I805" s="3">
        <v>10.15</v>
      </c>
      <c r="J805" s="3">
        <v>0.41</v>
      </c>
    </row>
    <row r="806" spans="1:10" ht="15" customHeight="1" x14ac:dyDescent="0.25">
      <c r="A806" s="2" t="s">
        <v>94</v>
      </c>
      <c r="B806" s="2" t="s">
        <v>468</v>
      </c>
      <c r="C806" s="2" t="s">
        <v>294</v>
      </c>
      <c r="D806" s="2" t="s">
        <v>345</v>
      </c>
      <c r="E806" s="2" t="s">
        <v>185</v>
      </c>
      <c r="F806" s="2"/>
      <c r="G806" s="4">
        <v>-12</v>
      </c>
      <c r="H806" s="3">
        <v>46.87</v>
      </c>
      <c r="I806" s="3">
        <v>562.5</v>
      </c>
      <c r="J806" s="3"/>
    </row>
    <row r="807" spans="1:10" ht="15" customHeight="1" x14ac:dyDescent="0.25">
      <c r="A807" s="2" t="s">
        <v>94</v>
      </c>
      <c r="B807" s="2" t="s">
        <v>468</v>
      </c>
      <c r="C807" s="2" t="s">
        <v>294</v>
      </c>
      <c r="D807" s="2" t="s">
        <v>345</v>
      </c>
      <c r="E807" s="2" t="s">
        <v>185</v>
      </c>
      <c r="F807" s="2"/>
      <c r="G807" s="4">
        <v>-0.50617586000000003</v>
      </c>
      <c r="H807" s="3">
        <v>46.87</v>
      </c>
      <c r="I807" s="3">
        <v>23.73</v>
      </c>
      <c r="J807" s="3">
        <v>0.94</v>
      </c>
    </row>
    <row r="808" spans="1:10" ht="15" customHeight="1" x14ac:dyDescent="0.25">
      <c r="A808" s="2" t="s">
        <v>94</v>
      </c>
      <c r="B808" s="2" t="s">
        <v>468</v>
      </c>
      <c r="C808" s="2" t="s">
        <v>294</v>
      </c>
      <c r="D808" s="2" t="s">
        <v>295</v>
      </c>
      <c r="E808" s="2" t="s">
        <v>247</v>
      </c>
      <c r="F808" s="2"/>
      <c r="G808" s="4">
        <v>1.9575294409999999</v>
      </c>
      <c r="H808" s="3">
        <v>31.93</v>
      </c>
      <c r="I808" s="3">
        <v>-62.5</v>
      </c>
      <c r="J808" s="3">
        <v>0.1</v>
      </c>
    </row>
    <row r="809" spans="1:10" ht="15" customHeight="1" x14ac:dyDescent="0.25">
      <c r="A809" s="2" t="s">
        <v>94</v>
      </c>
      <c r="B809" s="2" t="s">
        <v>469</v>
      </c>
      <c r="C809" s="2" t="s">
        <v>294</v>
      </c>
      <c r="D809" s="2" t="s">
        <v>345</v>
      </c>
      <c r="E809" s="2" t="s">
        <v>164</v>
      </c>
      <c r="F809" s="2"/>
      <c r="G809" s="4">
        <v>-32</v>
      </c>
      <c r="H809" s="3">
        <v>8.52</v>
      </c>
      <c r="I809" s="3">
        <v>272.75</v>
      </c>
      <c r="J809" s="3"/>
    </row>
    <row r="810" spans="1:10" ht="15" customHeight="1" x14ac:dyDescent="0.25">
      <c r="A810" s="2" t="s">
        <v>94</v>
      </c>
      <c r="B810" s="2" t="s">
        <v>469</v>
      </c>
      <c r="C810" s="2" t="s">
        <v>294</v>
      </c>
      <c r="D810" s="2" t="s">
        <v>345</v>
      </c>
      <c r="E810" s="2" t="s">
        <v>164</v>
      </c>
      <c r="F810" s="2"/>
      <c r="G810" s="4">
        <v>-0.70771282599999996</v>
      </c>
      <c r="H810" s="3">
        <v>8.52</v>
      </c>
      <c r="I810" s="3">
        <v>6.03</v>
      </c>
      <c r="J810" s="3">
        <v>0.45</v>
      </c>
    </row>
    <row r="811" spans="1:10" ht="15" customHeight="1" x14ac:dyDescent="0.25">
      <c r="A811" s="2" t="s">
        <v>94</v>
      </c>
      <c r="B811" s="2" t="s">
        <v>470</v>
      </c>
      <c r="C811" s="2" t="s">
        <v>294</v>
      </c>
      <c r="D811" s="2" t="s">
        <v>345</v>
      </c>
      <c r="E811" s="2" t="s">
        <v>140</v>
      </c>
      <c r="F811" s="2"/>
      <c r="G811" s="4">
        <v>-11</v>
      </c>
      <c r="H811" s="3">
        <v>28.26</v>
      </c>
      <c r="I811" s="3">
        <v>310.82</v>
      </c>
      <c r="J811" s="3"/>
    </row>
    <row r="812" spans="1:10" ht="15" customHeight="1" x14ac:dyDescent="0.25">
      <c r="A812" s="2" t="s">
        <v>94</v>
      </c>
      <c r="B812" s="2" t="s">
        <v>470</v>
      </c>
      <c r="C812" s="2" t="s">
        <v>294</v>
      </c>
      <c r="D812" s="2" t="s">
        <v>345</v>
      </c>
      <c r="E812" s="2" t="s">
        <v>140</v>
      </c>
      <c r="F812" s="2"/>
      <c r="G812" s="4">
        <v>-0.75914193500000005</v>
      </c>
      <c r="H812" s="3">
        <v>28.26</v>
      </c>
      <c r="I812" s="3">
        <v>21.45</v>
      </c>
      <c r="J812" s="3">
        <v>0.53</v>
      </c>
    </row>
    <row r="813" spans="1:10" ht="15" customHeight="1" x14ac:dyDescent="0.25">
      <c r="A813" s="2" t="s">
        <v>94</v>
      </c>
      <c r="B813" s="2" t="s">
        <v>471</v>
      </c>
      <c r="C813" s="2" t="s">
        <v>294</v>
      </c>
      <c r="D813" s="2" t="s">
        <v>295</v>
      </c>
      <c r="E813" s="2" t="s">
        <v>278</v>
      </c>
      <c r="F813" s="2"/>
      <c r="G813" s="4">
        <v>5</v>
      </c>
      <c r="H813" s="3">
        <v>26.92</v>
      </c>
      <c r="I813" s="3">
        <v>-134.58000000000001</v>
      </c>
      <c r="J813" s="3"/>
    </row>
    <row r="814" spans="1:10" ht="15" customHeight="1" x14ac:dyDescent="0.25">
      <c r="A814" s="2" t="s">
        <v>94</v>
      </c>
      <c r="B814" s="2" t="s">
        <v>471</v>
      </c>
      <c r="C814" s="2" t="s">
        <v>294</v>
      </c>
      <c r="D814" s="2" t="s">
        <v>295</v>
      </c>
      <c r="E814" s="2" t="s">
        <v>278</v>
      </c>
      <c r="F814" s="2"/>
      <c r="G814" s="4">
        <v>1.8903956900000001</v>
      </c>
      <c r="H814" s="3">
        <v>26.92</v>
      </c>
      <c r="I814" s="3">
        <v>-50.88</v>
      </c>
      <c r="J814" s="3">
        <v>0.3</v>
      </c>
    </row>
    <row r="815" spans="1:10" ht="15" customHeight="1" x14ac:dyDescent="0.25">
      <c r="A815" s="2" t="s">
        <v>94</v>
      </c>
      <c r="B815" s="2" t="s">
        <v>472</v>
      </c>
      <c r="C815" s="2" t="s">
        <v>294</v>
      </c>
      <c r="D815" s="2" t="s">
        <v>345</v>
      </c>
      <c r="E815" s="2" t="s">
        <v>152</v>
      </c>
      <c r="F815" s="2"/>
      <c r="G815" s="4">
        <v>-13</v>
      </c>
      <c r="H815" s="3">
        <v>25.11</v>
      </c>
      <c r="I815" s="3">
        <v>326.43</v>
      </c>
      <c r="J815" s="3"/>
    </row>
    <row r="816" spans="1:10" ht="15" customHeight="1" x14ac:dyDescent="0.25">
      <c r="A816" s="2" t="s">
        <v>94</v>
      </c>
      <c r="B816" s="2" t="s">
        <v>472</v>
      </c>
      <c r="C816" s="2" t="s">
        <v>294</v>
      </c>
      <c r="D816" s="2" t="s">
        <v>345</v>
      </c>
      <c r="E816" s="2" t="s">
        <v>152</v>
      </c>
      <c r="F816" s="2"/>
      <c r="G816" s="4">
        <v>-0.64946199699999996</v>
      </c>
      <c r="H816" s="3">
        <v>25.11</v>
      </c>
      <c r="I816" s="3">
        <v>16.309999999999999</v>
      </c>
      <c r="J816" s="3">
        <v>0.55000000000000004</v>
      </c>
    </row>
    <row r="817" spans="1:10" ht="15" customHeight="1" x14ac:dyDescent="0.25">
      <c r="A817" s="2" t="s">
        <v>94</v>
      </c>
      <c r="B817" s="2" t="s">
        <v>473</v>
      </c>
      <c r="C817" s="2" t="s">
        <v>294</v>
      </c>
      <c r="D817" s="2" t="s">
        <v>295</v>
      </c>
      <c r="E817" s="2" t="s">
        <v>274</v>
      </c>
      <c r="F817" s="2"/>
      <c r="G817" s="4">
        <v>5</v>
      </c>
      <c r="H817" s="3">
        <v>27.48</v>
      </c>
      <c r="I817" s="3">
        <v>-137.4</v>
      </c>
      <c r="J817" s="3"/>
    </row>
    <row r="818" spans="1:10" ht="15" customHeight="1" x14ac:dyDescent="0.25">
      <c r="A818" s="2" t="s">
        <v>94</v>
      </c>
      <c r="B818" s="2" t="s">
        <v>473</v>
      </c>
      <c r="C818" s="2" t="s">
        <v>294</v>
      </c>
      <c r="D818" s="2" t="s">
        <v>295</v>
      </c>
      <c r="E818" s="2" t="s">
        <v>274</v>
      </c>
      <c r="F818" s="2"/>
      <c r="G818" s="4">
        <v>1.9032092540000001</v>
      </c>
      <c r="H818" s="3">
        <v>27.48</v>
      </c>
      <c r="I818" s="3">
        <v>-52.3</v>
      </c>
      <c r="J818" s="3">
        <v>0.3</v>
      </c>
    </row>
    <row r="819" spans="1:10" ht="15" customHeight="1" x14ac:dyDescent="0.25">
      <c r="A819" s="2" t="s">
        <v>94</v>
      </c>
      <c r="B819" s="2" t="s">
        <v>473</v>
      </c>
      <c r="C819" s="2" t="s">
        <v>294</v>
      </c>
      <c r="D819" s="2" t="s">
        <v>295</v>
      </c>
      <c r="E819" s="2" t="s">
        <v>281</v>
      </c>
      <c r="F819" s="2"/>
      <c r="G819" s="4">
        <v>2</v>
      </c>
      <c r="H819" s="3">
        <v>50.37</v>
      </c>
      <c r="I819" s="3">
        <v>-100.73</v>
      </c>
      <c r="J819" s="3"/>
    </row>
    <row r="820" spans="1:10" ht="15" customHeight="1" x14ac:dyDescent="0.25">
      <c r="A820" s="2" t="s">
        <v>94</v>
      </c>
      <c r="B820" s="2" t="s">
        <v>473</v>
      </c>
      <c r="C820" s="2" t="s">
        <v>294</v>
      </c>
      <c r="D820" s="2" t="s">
        <v>295</v>
      </c>
      <c r="E820" s="2" t="s">
        <v>281</v>
      </c>
      <c r="F820" s="2"/>
      <c r="G820" s="4">
        <v>1.766504517</v>
      </c>
      <c r="H820" s="3">
        <v>50.37</v>
      </c>
      <c r="I820" s="3">
        <v>-88.97</v>
      </c>
      <c r="J820" s="3">
        <v>0.3</v>
      </c>
    </row>
  </sheetData>
  <autoFilter ref="A1:J820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32"/>
  <sheetViews>
    <sheetView zoomScaleNormal="100" workbookViewId="0">
      <pane ySplit="1" topLeftCell="A38" activePane="bottomLeft" state="frozen"/>
      <selection pane="bottomLeft" activeCell="E20" sqref="E20"/>
    </sheetView>
  </sheetViews>
  <sheetFormatPr defaultColWidth="8.7109375" defaultRowHeight="15" x14ac:dyDescent="0.25"/>
  <cols>
    <col min="1" max="1" width="11.140625" bestFit="1" customWidth="1"/>
    <col min="2" max="2" width="15.5703125" bestFit="1" customWidth="1"/>
    <col min="3" max="3" width="20.42578125" bestFit="1" customWidth="1"/>
    <col min="4" max="4" width="12.42578125" bestFit="1" customWidth="1"/>
    <col min="5" max="5" width="69.42578125" bestFit="1" customWidth="1"/>
    <col min="6" max="6" width="12.7109375" bestFit="1" customWidth="1"/>
  </cols>
  <sheetData>
    <row r="1" spans="1:6" ht="15" customHeight="1" x14ac:dyDescent="0.25">
      <c r="A1" s="1" t="s">
        <v>0</v>
      </c>
      <c r="B1" s="1" t="s">
        <v>287</v>
      </c>
      <c r="C1" s="1" t="s">
        <v>288</v>
      </c>
      <c r="D1" s="1" t="s">
        <v>96</v>
      </c>
      <c r="E1" s="1" t="s">
        <v>97</v>
      </c>
      <c r="F1" s="1" t="s">
        <v>474</v>
      </c>
    </row>
    <row r="2" spans="1:6" ht="15" customHeight="1" x14ac:dyDescent="0.25">
      <c r="A2" s="2" t="s">
        <v>15</v>
      </c>
      <c r="B2" s="2" t="s">
        <v>293</v>
      </c>
      <c r="C2" s="2" t="s">
        <v>475</v>
      </c>
      <c r="D2" s="2"/>
      <c r="E2" s="2" t="s">
        <v>476</v>
      </c>
      <c r="F2" s="3">
        <v>14.53</v>
      </c>
    </row>
    <row r="3" spans="1:6" ht="15" customHeight="1" x14ac:dyDescent="0.25">
      <c r="A3" s="2" t="s">
        <v>15</v>
      </c>
      <c r="B3" s="2" t="s">
        <v>293</v>
      </c>
      <c r="C3" s="2" t="s">
        <v>475</v>
      </c>
      <c r="D3" s="2"/>
      <c r="E3" s="2" t="s">
        <v>477</v>
      </c>
      <c r="F3" s="3">
        <v>14.52</v>
      </c>
    </row>
    <row r="4" spans="1:6" ht="15" customHeight="1" x14ac:dyDescent="0.25">
      <c r="A4" s="2" t="s">
        <v>15</v>
      </c>
      <c r="B4" s="2" t="s">
        <v>293</v>
      </c>
      <c r="C4" s="2" t="s">
        <v>475</v>
      </c>
      <c r="D4" s="2"/>
      <c r="E4" s="2" t="s">
        <v>478</v>
      </c>
      <c r="F4" s="3">
        <v>5</v>
      </c>
    </row>
    <row r="5" spans="1:6" ht="15" customHeight="1" x14ac:dyDescent="0.25">
      <c r="A5" s="2" t="s">
        <v>18</v>
      </c>
      <c r="B5" s="2" t="s">
        <v>296</v>
      </c>
      <c r="C5" s="2" t="s">
        <v>475</v>
      </c>
      <c r="D5" s="2"/>
      <c r="E5" s="2" t="s">
        <v>479</v>
      </c>
      <c r="F5" s="3">
        <v>22.38</v>
      </c>
    </row>
    <row r="6" spans="1:6" ht="15" customHeight="1" x14ac:dyDescent="0.25">
      <c r="A6" s="2" t="s">
        <v>18</v>
      </c>
      <c r="B6" s="2" t="s">
        <v>296</v>
      </c>
      <c r="C6" s="2" t="s">
        <v>475</v>
      </c>
      <c r="D6" s="2"/>
      <c r="E6" s="2" t="s">
        <v>480</v>
      </c>
      <c r="F6" s="3">
        <v>13.43</v>
      </c>
    </row>
    <row r="7" spans="1:6" ht="15" customHeight="1" x14ac:dyDescent="0.25">
      <c r="A7" s="2" t="s">
        <v>18</v>
      </c>
      <c r="B7" s="2" t="s">
        <v>296</v>
      </c>
      <c r="C7" s="2" t="s">
        <v>475</v>
      </c>
      <c r="D7" s="2"/>
      <c r="E7" s="2" t="s">
        <v>481</v>
      </c>
      <c r="F7" s="3">
        <v>5.97</v>
      </c>
    </row>
    <row r="8" spans="1:6" ht="15" customHeight="1" x14ac:dyDescent="0.25">
      <c r="A8" s="2" t="s">
        <v>18</v>
      </c>
      <c r="B8" s="2" t="s">
        <v>296</v>
      </c>
      <c r="C8" s="2" t="s">
        <v>475</v>
      </c>
      <c r="D8" s="2"/>
      <c r="E8" s="2" t="s">
        <v>482</v>
      </c>
      <c r="F8" s="3">
        <v>11.94</v>
      </c>
    </row>
    <row r="9" spans="1:6" ht="15" customHeight="1" x14ac:dyDescent="0.25">
      <c r="A9" s="2" t="s">
        <v>26</v>
      </c>
      <c r="B9" s="2" t="s">
        <v>483</v>
      </c>
      <c r="C9" s="2" t="s">
        <v>484</v>
      </c>
      <c r="D9" s="2" t="s">
        <v>107</v>
      </c>
      <c r="E9" s="2" t="s">
        <v>485</v>
      </c>
      <c r="F9" s="3">
        <v>0.1</v>
      </c>
    </row>
    <row r="10" spans="1:6" ht="15" customHeight="1" x14ac:dyDescent="0.25">
      <c r="A10" s="2" t="s">
        <v>26</v>
      </c>
      <c r="B10" s="2" t="s">
        <v>483</v>
      </c>
      <c r="C10" s="2" t="s">
        <v>486</v>
      </c>
      <c r="D10" s="2" t="s">
        <v>107</v>
      </c>
      <c r="E10" s="2" t="s">
        <v>487</v>
      </c>
      <c r="F10" s="3">
        <v>-0.05</v>
      </c>
    </row>
    <row r="11" spans="1:6" ht="15" customHeight="1" x14ac:dyDescent="0.25">
      <c r="A11" s="2" t="s">
        <v>26</v>
      </c>
      <c r="B11" s="2" t="s">
        <v>483</v>
      </c>
      <c r="C11" s="2" t="s">
        <v>484</v>
      </c>
      <c r="D11" s="2" t="s">
        <v>107</v>
      </c>
      <c r="E11" s="2" t="s">
        <v>488</v>
      </c>
      <c r="F11" s="3">
        <v>0.37</v>
      </c>
    </row>
    <row r="12" spans="1:6" ht="15" customHeight="1" x14ac:dyDescent="0.25">
      <c r="A12" s="2" t="s">
        <v>26</v>
      </c>
      <c r="B12" s="2" t="s">
        <v>483</v>
      </c>
      <c r="C12" s="2" t="s">
        <v>486</v>
      </c>
      <c r="D12" s="2" t="s">
        <v>107</v>
      </c>
      <c r="E12" s="2" t="s">
        <v>489</v>
      </c>
      <c r="F12" s="3">
        <v>-0.01</v>
      </c>
    </row>
    <row r="13" spans="1:6" ht="15" customHeight="1" x14ac:dyDescent="0.25">
      <c r="A13" s="2" t="s">
        <v>28</v>
      </c>
      <c r="B13" s="2" t="s">
        <v>490</v>
      </c>
      <c r="C13" s="2" t="s">
        <v>484</v>
      </c>
      <c r="D13" s="2" t="s">
        <v>109</v>
      </c>
      <c r="E13" s="2" t="s">
        <v>491</v>
      </c>
      <c r="F13" s="3">
        <v>0.06</v>
      </c>
    </row>
    <row r="14" spans="1:6" ht="15" customHeight="1" x14ac:dyDescent="0.25">
      <c r="A14" s="2" t="s">
        <v>38</v>
      </c>
      <c r="B14" s="2" t="s">
        <v>492</v>
      </c>
      <c r="C14" s="2" t="s">
        <v>475</v>
      </c>
      <c r="D14" s="2"/>
      <c r="E14" s="2" t="s">
        <v>493</v>
      </c>
      <c r="F14" s="3">
        <v>55.92</v>
      </c>
    </row>
    <row r="15" spans="1:6" ht="15" customHeight="1" x14ac:dyDescent="0.25">
      <c r="A15" s="2" t="s">
        <v>38</v>
      </c>
      <c r="B15" s="2" t="s">
        <v>298</v>
      </c>
      <c r="C15" s="2" t="s">
        <v>475</v>
      </c>
      <c r="D15" s="2"/>
      <c r="E15" s="2" t="s">
        <v>494</v>
      </c>
      <c r="F15" s="3">
        <v>34.39</v>
      </c>
    </row>
    <row r="16" spans="1:6" ht="15" customHeight="1" x14ac:dyDescent="0.25">
      <c r="A16" s="2" t="s">
        <v>38</v>
      </c>
      <c r="B16" s="2" t="s">
        <v>495</v>
      </c>
      <c r="C16" s="2" t="s">
        <v>484</v>
      </c>
      <c r="D16" s="2" t="s">
        <v>107</v>
      </c>
      <c r="E16" s="2" t="s">
        <v>496</v>
      </c>
      <c r="F16" s="3">
        <v>1.08</v>
      </c>
    </row>
    <row r="17" spans="1:6" ht="15" customHeight="1" x14ac:dyDescent="0.25">
      <c r="A17" s="2" t="s">
        <v>38</v>
      </c>
      <c r="B17" s="2" t="s">
        <v>495</v>
      </c>
      <c r="C17" s="2" t="s">
        <v>486</v>
      </c>
      <c r="D17" s="2" t="s">
        <v>107</v>
      </c>
      <c r="E17" s="2" t="s">
        <v>497</v>
      </c>
      <c r="F17" s="3">
        <v>-0.16</v>
      </c>
    </row>
    <row r="18" spans="1:6" ht="15" customHeight="1" x14ac:dyDescent="0.25">
      <c r="A18" s="2" t="s">
        <v>38</v>
      </c>
      <c r="B18" s="2" t="s">
        <v>299</v>
      </c>
      <c r="C18" s="2" t="s">
        <v>475</v>
      </c>
      <c r="D18" s="2"/>
      <c r="E18" s="2" t="s">
        <v>498</v>
      </c>
      <c r="F18" s="3">
        <v>29.17</v>
      </c>
    </row>
    <row r="19" spans="1:6" ht="15" customHeight="1" x14ac:dyDescent="0.25">
      <c r="A19" s="2" t="s">
        <v>40</v>
      </c>
      <c r="B19" s="2" t="s">
        <v>300</v>
      </c>
      <c r="C19" s="2" t="s">
        <v>486</v>
      </c>
      <c r="D19" s="2" t="s">
        <v>109</v>
      </c>
      <c r="E19" s="2" t="s">
        <v>489</v>
      </c>
      <c r="F19" s="3">
        <v>-0.01</v>
      </c>
    </row>
    <row r="20" spans="1:6" ht="15" customHeight="1" x14ac:dyDescent="0.25">
      <c r="A20" s="2" t="s">
        <v>40</v>
      </c>
      <c r="B20" s="2" t="s">
        <v>300</v>
      </c>
      <c r="C20" s="2" t="s">
        <v>484</v>
      </c>
      <c r="D20" s="2" t="s">
        <v>109</v>
      </c>
      <c r="E20" s="2" t="s">
        <v>499</v>
      </c>
      <c r="F20" s="3">
        <v>0.1</v>
      </c>
    </row>
    <row r="21" spans="1:6" ht="15" customHeight="1" x14ac:dyDescent="0.25">
      <c r="A21" s="2" t="s">
        <v>40</v>
      </c>
      <c r="B21" s="2" t="s">
        <v>300</v>
      </c>
      <c r="C21" s="2" t="s">
        <v>475</v>
      </c>
      <c r="D21" s="2"/>
      <c r="E21" s="2" t="s">
        <v>500</v>
      </c>
      <c r="F21" s="3">
        <v>40</v>
      </c>
    </row>
    <row r="22" spans="1:6" ht="15" customHeight="1" x14ac:dyDescent="0.25">
      <c r="A22" s="2" t="s">
        <v>42</v>
      </c>
      <c r="B22" s="2" t="s">
        <v>301</v>
      </c>
      <c r="C22" s="2" t="s">
        <v>475</v>
      </c>
      <c r="D22" s="2"/>
      <c r="E22" s="2" t="s">
        <v>501</v>
      </c>
      <c r="F22" s="3">
        <v>141.19999999999999</v>
      </c>
    </row>
    <row r="23" spans="1:6" ht="15" customHeight="1" x14ac:dyDescent="0.25">
      <c r="A23" s="2" t="s">
        <v>44</v>
      </c>
      <c r="B23" s="2" t="s">
        <v>302</v>
      </c>
      <c r="C23" s="2" t="s">
        <v>484</v>
      </c>
      <c r="D23" s="2" t="s">
        <v>115</v>
      </c>
      <c r="E23" s="2" t="s">
        <v>502</v>
      </c>
      <c r="F23" s="3">
        <v>0.56999999999999995</v>
      </c>
    </row>
    <row r="24" spans="1:6" ht="15" customHeight="1" x14ac:dyDescent="0.25">
      <c r="A24" s="2" t="s">
        <v>44</v>
      </c>
      <c r="B24" s="2" t="s">
        <v>302</v>
      </c>
      <c r="C24" s="2" t="s">
        <v>486</v>
      </c>
      <c r="D24" s="2" t="s">
        <v>115</v>
      </c>
      <c r="E24" s="2" t="s">
        <v>503</v>
      </c>
      <c r="F24" s="3">
        <v>-0.08</v>
      </c>
    </row>
    <row r="25" spans="1:6" ht="15" customHeight="1" x14ac:dyDescent="0.25">
      <c r="A25" s="2" t="s">
        <v>44</v>
      </c>
      <c r="B25" s="2" t="s">
        <v>302</v>
      </c>
      <c r="C25" s="2" t="s">
        <v>475</v>
      </c>
      <c r="D25" s="2"/>
      <c r="E25" s="2" t="s">
        <v>504</v>
      </c>
      <c r="F25" s="3">
        <v>56.1</v>
      </c>
    </row>
    <row r="26" spans="1:6" ht="15" customHeight="1" x14ac:dyDescent="0.25">
      <c r="A26" s="2" t="s">
        <v>44</v>
      </c>
      <c r="B26" s="2" t="s">
        <v>303</v>
      </c>
      <c r="C26" s="2" t="s">
        <v>475</v>
      </c>
      <c r="D26" s="2"/>
      <c r="E26" s="2" t="s">
        <v>505</v>
      </c>
      <c r="F26" s="3">
        <v>140.84</v>
      </c>
    </row>
    <row r="27" spans="1:6" ht="15" customHeight="1" x14ac:dyDescent="0.25">
      <c r="A27" s="2" t="s">
        <v>44</v>
      </c>
      <c r="B27" s="2" t="s">
        <v>304</v>
      </c>
      <c r="C27" s="2" t="s">
        <v>475</v>
      </c>
      <c r="D27" s="2"/>
      <c r="E27" s="2" t="s">
        <v>506</v>
      </c>
      <c r="F27" s="3">
        <v>69.73</v>
      </c>
    </row>
    <row r="28" spans="1:6" ht="15" customHeight="1" x14ac:dyDescent="0.25">
      <c r="A28" s="2" t="s">
        <v>44</v>
      </c>
      <c r="B28" s="2" t="s">
        <v>304</v>
      </c>
      <c r="C28" s="2" t="s">
        <v>475</v>
      </c>
      <c r="D28" s="2"/>
      <c r="E28" s="2" t="s">
        <v>507</v>
      </c>
      <c r="F28" s="3">
        <v>41.85</v>
      </c>
    </row>
    <row r="29" spans="1:6" ht="15" customHeight="1" x14ac:dyDescent="0.25">
      <c r="A29" s="2" t="s">
        <v>44</v>
      </c>
      <c r="B29" s="2" t="s">
        <v>508</v>
      </c>
      <c r="C29" s="2" t="s">
        <v>484</v>
      </c>
      <c r="D29" s="2" t="s">
        <v>117</v>
      </c>
      <c r="E29" s="2" t="s">
        <v>509</v>
      </c>
      <c r="F29" s="3">
        <v>0.41</v>
      </c>
    </row>
    <row r="30" spans="1:6" ht="15" customHeight="1" x14ac:dyDescent="0.25">
      <c r="A30" s="2" t="s">
        <v>44</v>
      </c>
      <c r="B30" s="2" t="s">
        <v>508</v>
      </c>
      <c r="C30" s="2" t="s">
        <v>486</v>
      </c>
      <c r="D30" s="2" t="s">
        <v>117</v>
      </c>
      <c r="E30" s="2" t="s">
        <v>510</v>
      </c>
      <c r="F30" s="3">
        <v>-0.06</v>
      </c>
    </row>
    <row r="31" spans="1:6" ht="15" customHeight="1" x14ac:dyDescent="0.25">
      <c r="A31" s="2" t="s">
        <v>44</v>
      </c>
      <c r="B31" s="2" t="s">
        <v>511</v>
      </c>
      <c r="C31" s="2" t="s">
        <v>486</v>
      </c>
      <c r="D31" s="2" t="s">
        <v>113</v>
      </c>
      <c r="E31" s="2" t="s">
        <v>512</v>
      </c>
      <c r="F31" s="3">
        <v>-0.03</v>
      </c>
    </row>
    <row r="32" spans="1:6" ht="15" customHeight="1" x14ac:dyDescent="0.25">
      <c r="A32" s="2" t="s">
        <v>44</v>
      </c>
      <c r="B32" s="2" t="s">
        <v>511</v>
      </c>
      <c r="C32" s="2" t="s">
        <v>484</v>
      </c>
      <c r="D32" s="2" t="s">
        <v>113</v>
      </c>
      <c r="E32" s="2" t="s">
        <v>513</v>
      </c>
      <c r="F32" s="3">
        <v>0.23</v>
      </c>
    </row>
    <row r="33" spans="1:6" ht="15" customHeight="1" x14ac:dyDescent="0.25">
      <c r="A33" s="2" t="s">
        <v>46</v>
      </c>
      <c r="B33" s="2" t="s">
        <v>305</v>
      </c>
      <c r="C33" s="2" t="s">
        <v>475</v>
      </c>
      <c r="D33" s="2"/>
      <c r="E33" s="2" t="s">
        <v>514</v>
      </c>
      <c r="F33" s="3">
        <v>1909.95</v>
      </c>
    </row>
    <row r="34" spans="1:6" ht="15" customHeight="1" x14ac:dyDescent="0.25">
      <c r="A34" s="2" t="s">
        <v>46</v>
      </c>
      <c r="B34" s="2" t="s">
        <v>305</v>
      </c>
      <c r="C34" s="2" t="s">
        <v>475</v>
      </c>
      <c r="D34" s="2"/>
      <c r="E34" s="2" t="s">
        <v>515</v>
      </c>
      <c r="F34" s="3">
        <v>272.92</v>
      </c>
    </row>
    <row r="35" spans="1:6" ht="15" customHeight="1" x14ac:dyDescent="0.25">
      <c r="A35" s="2" t="s">
        <v>46</v>
      </c>
      <c r="B35" s="2" t="s">
        <v>305</v>
      </c>
      <c r="C35" s="2" t="s">
        <v>475</v>
      </c>
      <c r="D35" s="2"/>
      <c r="E35" s="2" t="s">
        <v>516</v>
      </c>
      <c r="F35" s="3">
        <v>545.54999999999995</v>
      </c>
    </row>
    <row r="36" spans="1:6" ht="15" customHeight="1" x14ac:dyDescent="0.25">
      <c r="A36" s="2" t="s">
        <v>46</v>
      </c>
      <c r="B36" s="2" t="s">
        <v>517</v>
      </c>
      <c r="C36" s="2" t="s">
        <v>486</v>
      </c>
      <c r="D36" s="2" t="s">
        <v>119</v>
      </c>
      <c r="E36" s="2" t="s">
        <v>518</v>
      </c>
      <c r="F36" s="3">
        <v>-0.04</v>
      </c>
    </row>
    <row r="37" spans="1:6" ht="15" customHeight="1" x14ac:dyDescent="0.25">
      <c r="A37" s="2" t="s">
        <v>46</v>
      </c>
      <c r="B37" s="2" t="s">
        <v>517</v>
      </c>
      <c r="C37" s="2" t="s">
        <v>486</v>
      </c>
      <c r="D37" s="2" t="s">
        <v>115</v>
      </c>
      <c r="E37" s="2" t="s">
        <v>519</v>
      </c>
      <c r="F37" s="3">
        <v>-0.22</v>
      </c>
    </row>
    <row r="38" spans="1:6" ht="15" customHeight="1" x14ac:dyDescent="0.25">
      <c r="A38" s="2" t="s">
        <v>46</v>
      </c>
      <c r="B38" s="2" t="s">
        <v>517</v>
      </c>
      <c r="C38" s="2" t="s">
        <v>484</v>
      </c>
      <c r="D38" s="2" t="s">
        <v>115</v>
      </c>
      <c r="E38" s="2" t="s">
        <v>520</v>
      </c>
      <c r="F38" s="3">
        <v>1.48</v>
      </c>
    </row>
    <row r="39" spans="1:6" ht="15" customHeight="1" x14ac:dyDescent="0.25">
      <c r="A39" s="2" t="s">
        <v>46</v>
      </c>
      <c r="B39" s="2" t="s">
        <v>517</v>
      </c>
      <c r="C39" s="2" t="s">
        <v>484</v>
      </c>
      <c r="D39" s="2" t="s">
        <v>119</v>
      </c>
      <c r="E39" s="2" t="s">
        <v>521</v>
      </c>
      <c r="F39" s="3">
        <v>0.31</v>
      </c>
    </row>
    <row r="40" spans="1:6" ht="15" customHeight="1" x14ac:dyDescent="0.25">
      <c r="A40" s="2" t="s">
        <v>46</v>
      </c>
      <c r="B40" s="2" t="s">
        <v>306</v>
      </c>
      <c r="C40" s="2" t="s">
        <v>475</v>
      </c>
      <c r="D40" s="2"/>
      <c r="E40" s="2" t="s">
        <v>522</v>
      </c>
      <c r="F40" s="3">
        <v>135.5</v>
      </c>
    </row>
    <row r="41" spans="1:6" ht="15" customHeight="1" x14ac:dyDescent="0.25">
      <c r="A41" s="2" t="s">
        <v>46</v>
      </c>
      <c r="B41" s="2" t="s">
        <v>306</v>
      </c>
      <c r="C41" s="2" t="s">
        <v>475</v>
      </c>
      <c r="D41" s="2"/>
      <c r="E41" s="2" t="s">
        <v>523</v>
      </c>
      <c r="F41" s="3">
        <v>30</v>
      </c>
    </row>
    <row r="42" spans="1:6" ht="15" customHeight="1" x14ac:dyDescent="0.25">
      <c r="A42" s="2" t="s">
        <v>46</v>
      </c>
      <c r="B42" s="2" t="s">
        <v>307</v>
      </c>
      <c r="C42" s="2" t="s">
        <v>475</v>
      </c>
      <c r="D42" s="2"/>
      <c r="E42" s="2" t="s">
        <v>524</v>
      </c>
      <c r="F42" s="3">
        <v>188.83</v>
      </c>
    </row>
    <row r="43" spans="1:6" ht="15" customHeight="1" x14ac:dyDescent="0.25">
      <c r="A43" s="2" t="s">
        <v>46</v>
      </c>
      <c r="B43" s="2" t="s">
        <v>525</v>
      </c>
      <c r="C43" s="2" t="s">
        <v>484</v>
      </c>
      <c r="D43" s="2" t="s">
        <v>117</v>
      </c>
      <c r="E43" s="2" t="s">
        <v>526</v>
      </c>
      <c r="F43" s="3">
        <v>3.02</v>
      </c>
    </row>
    <row r="44" spans="1:6" ht="15" customHeight="1" x14ac:dyDescent="0.25">
      <c r="A44" s="2" t="s">
        <v>46</v>
      </c>
      <c r="B44" s="2" t="s">
        <v>525</v>
      </c>
      <c r="C44" s="2" t="s">
        <v>486</v>
      </c>
      <c r="D44" s="2" t="s">
        <v>125</v>
      </c>
      <c r="E44" s="2" t="s">
        <v>527</v>
      </c>
      <c r="F44" s="3">
        <v>-0.63</v>
      </c>
    </row>
    <row r="45" spans="1:6" ht="15" customHeight="1" x14ac:dyDescent="0.25">
      <c r="A45" s="2" t="s">
        <v>46</v>
      </c>
      <c r="B45" s="2" t="s">
        <v>525</v>
      </c>
      <c r="C45" s="2" t="s">
        <v>486</v>
      </c>
      <c r="D45" s="2" t="s">
        <v>121</v>
      </c>
      <c r="E45" s="2" t="s">
        <v>528</v>
      </c>
      <c r="F45" s="3">
        <v>-1.18</v>
      </c>
    </row>
    <row r="46" spans="1:6" ht="15" customHeight="1" x14ac:dyDescent="0.25">
      <c r="A46" s="2" t="s">
        <v>46</v>
      </c>
      <c r="B46" s="2" t="s">
        <v>525</v>
      </c>
      <c r="C46" s="2" t="s">
        <v>486</v>
      </c>
      <c r="D46" s="2" t="s">
        <v>117</v>
      </c>
      <c r="E46" s="2" t="s">
        <v>529</v>
      </c>
      <c r="F46" s="3">
        <v>-0.45</v>
      </c>
    </row>
    <row r="47" spans="1:6" ht="15" customHeight="1" x14ac:dyDescent="0.25">
      <c r="A47" s="2" t="s">
        <v>46</v>
      </c>
      <c r="B47" s="2" t="s">
        <v>525</v>
      </c>
      <c r="C47" s="2" t="s">
        <v>484</v>
      </c>
      <c r="D47" s="2" t="s">
        <v>121</v>
      </c>
      <c r="E47" s="2" t="s">
        <v>530</v>
      </c>
      <c r="F47" s="3">
        <v>7.91</v>
      </c>
    </row>
    <row r="48" spans="1:6" ht="15" customHeight="1" x14ac:dyDescent="0.25">
      <c r="A48" s="2" t="s">
        <v>46</v>
      </c>
      <c r="B48" s="2" t="s">
        <v>525</v>
      </c>
      <c r="C48" s="2" t="s">
        <v>484</v>
      </c>
      <c r="D48" s="2" t="s">
        <v>125</v>
      </c>
      <c r="E48" s="2" t="s">
        <v>531</v>
      </c>
      <c r="F48" s="3">
        <v>4.2</v>
      </c>
    </row>
    <row r="49" spans="1:6" ht="15" customHeight="1" x14ac:dyDescent="0.25">
      <c r="A49" s="2" t="s">
        <v>48</v>
      </c>
      <c r="B49" s="2" t="s">
        <v>308</v>
      </c>
      <c r="C49" s="2" t="s">
        <v>475</v>
      </c>
      <c r="D49" s="2"/>
      <c r="E49" s="2" t="s">
        <v>532</v>
      </c>
      <c r="F49" s="3">
        <v>4029</v>
      </c>
    </row>
    <row r="50" spans="1:6" ht="15" customHeight="1" x14ac:dyDescent="0.25">
      <c r="A50" s="2" t="s">
        <v>48</v>
      </c>
      <c r="B50" s="2" t="s">
        <v>533</v>
      </c>
      <c r="C50" s="2" t="s">
        <v>475</v>
      </c>
      <c r="D50" s="2"/>
      <c r="E50" s="2" t="s">
        <v>534</v>
      </c>
      <c r="F50" s="3">
        <v>-480</v>
      </c>
    </row>
    <row r="51" spans="1:6" ht="15" customHeight="1" x14ac:dyDescent="0.25">
      <c r="A51" s="2" t="s">
        <v>48</v>
      </c>
      <c r="B51" s="2" t="s">
        <v>535</v>
      </c>
      <c r="C51" s="2" t="s">
        <v>486</v>
      </c>
      <c r="D51" s="2" t="s">
        <v>115</v>
      </c>
      <c r="E51" s="2" t="s">
        <v>536</v>
      </c>
      <c r="F51" s="3">
        <v>-1.42</v>
      </c>
    </row>
    <row r="52" spans="1:6" ht="15" customHeight="1" x14ac:dyDescent="0.25">
      <c r="A52" s="2" t="s">
        <v>48</v>
      </c>
      <c r="B52" s="2" t="s">
        <v>535</v>
      </c>
      <c r="C52" s="2" t="s">
        <v>486</v>
      </c>
      <c r="D52" s="2" t="s">
        <v>119</v>
      </c>
      <c r="E52" s="2" t="s">
        <v>537</v>
      </c>
      <c r="F52" s="3">
        <v>-0.04</v>
      </c>
    </row>
    <row r="53" spans="1:6" ht="15" customHeight="1" x14ac:dyDescent="0.25">
      <c r="A53" s="2" t="s">
        <v>48</v>
      </c>
      <c r="B53" s="2" t="s">
        <v>535</v>
      </c>
      <c r="C53" s="2" t="s">
        <v>484</v>
      </c>
      <c r="D53" s="2" t="s">
        <v>115</v>
      </c>
      <c r="E53" s="2" t="s">
        <v>538</v>
      </c>
      <c r="F53" s="3">
        <v>9.4700000000000006</v>
      </c>
    </row>
    <row r="54" spans="1:6" ht="15" customHeight="1" x14ac:dyDescent="0.25">
      <c r="A54" s="2" t="s">
        <v>48</v>
      </c>
      <c r="B54" s="2" t="s">
        <v>535</v>
      </c>
      <c r="C54" s="2" t="s">
        <v>484</v>
      </c>
      <c r="D54" s="2" t="s">
        <v>119</v>
      </c>
      <c r="E54" s="2" t="s">
        <v>539</v>
      </c>
      <c r="F54" s="3">
        <v>0.3</v>
      </c>
    </row>
    <row r="55" spans="1:6" ht="15" customHeight="1" x14ac:dyDescent="0.25">
      <c r="A55" s="2" t="s">
        <v>48</v>
      </c>
      <c r="B55" s="2" t="s">
        <v>540</v>
      </c>
      <c r="C55" s="2" t="s">
        <v>475</v>
      </c>
      <c r="D55" s="2"/>
      <c r="E55" s="2" t="s">
        <v>541</v>
      </c>
      <c r="F55" s="3">
        <v>-1</v>
      </c>
    </row>
    <row r="56" spans="1:6" ht="15" customHeight="1" x14ac:dyDescent="0.25">
      <c r="A56" s="2" t="s">
        <v>48</v>
      </c>
      <c r="B56" s="2" t="s">
        <v>542</v>
      </c>
      <c r="C56" s="2" t="s">
        <v>484</v>
      </c>
      <c r="D56" s="2" t="s">
        <v>123</v>
      </c>
      <c r="E56" s="2" t="s">
        <v>543</v>
      </c>
      <c r="F56" s="3">
        <v>2.12</v>
      </c>
    </row>
    <row r="57" spans="1:6" ht="15" customHeight="1" x14ac:dyDescent="0.25">
      <c r="A57" s="2" t="s">
        <v>48</v>
      </c>
      <c r="B57" s="2" t="s">
        <v>542</v>
      </c>
      <c r="C57" s="2" t="s">
        <v>484</v>
      </c>
      <c r="D57" s="2" t="s">
        <v>117</v>
      </c>
      <c r="E57" s="2" t="s">
        <v>544</v>
      </c>
      <c r="F57" s="3">
        <v>2.86</v>
      </c>
    </row>
    <row r="58" spans="1:6" ht="15" customHeight="1" x14ac:dyDescent="0.25">
      <c r="A58" s="2" t="s">
        <v>48</v>
      </c>
      <c r="B58" s="2" t="s">
        <v>542</v>
      </c>
      <c r="C58" s="2" t="s">
        <v>486</v>
      </c>
      <c r="D58" s="2" t="s">
        <v>123</v>
      </c>
      <c r="E58" s="2" t="s">
        <v>545</v>
      </c>
      <c r="F58" s="3">
        <v>-0.31</v>
      </c>
    </row>
    <row r="59" spans="1:6" ht="15" customHeight="1" x14ac:dyDescent="0.25">
      <c r="A59" s="2" t="s">
        <v>48</v>
      </c>
      <c r="B59" s="2" t="s">
        <v>542</v>
      </c>
      <c r="C59" s="2" t="s">
        <v>486</v>
      </c>
      <c r="D59" s="2" t="s">
        <v>117</v>
      </c>
      <c r="E59" s="2" t="s">
        <v>546</v>
      </c>
      <c r="F59" s="3">
        <v>-0.42</v>
      </c>
    </row>
    <row r="60" spans="1:6" ht="15" customHeight="1" x14ac:dyDescent="0.25">
      <c r="A60" s="2" t="s">
        <v>48</v>
      </c>
      <c r="B60" s="2" t="s">
        <v>310</v>
      </c>
      <c r="C60" s="2" t="s">
        <v>475</v>
      </c>
      <c r="D60" s="2"/>
      <c r="E60" s="2" t="s">
        <v>547</v>
      </c>
      <c r="F60" s="3">
        <v>120</v>
      </c>
    </row>
    <row r="61" spans="1:6" ht="15" customHeight="1" x14ac:dyDescent="0.25">
      <c r="A61" s="2" t="s">
        <v>48</v>
      </c>
      <c r="B61" s="2" t="s">
        <v>548</v>
      </c>
      <c r="C61" s="2" t="s">
        <v>486</v>
      </c>
      <c r="D61" s="2" t="s">
        <v>121</v>
      </c>
      <c r="E61" s="2" t="s">
        <v>549</v>
      </c>
      <c r="F61" s="3">
        <v>-2.2799999999999998</v>
      </c>
    </row>
    <row r="62" spans="1:6" ht="15" customHeight="1" x14ac:dyDescent="0.25">
      <c r="A62" s="2" t="s">
        <v>48</v>
      </c>
      <c r="B62" s="2" t="s">
        <v>548</v>
      </c>
      <c r="C62" s="2" t="s">
        <v>484</v>
      </c>
      <c r="D62" s="2" t="s">
        <v>121</v>
      </c>
      <c r="E62" s="2" t="s">
        <v>550</v>
      </c>
      <c r="F62" s="3">
        <v>15.24</v>
      </c>
    </row>
    <row r="63" spans="1:6" ht="15" customHeight="1" x14ac:dyDescent="0.25">
      <c r="A63" s="2" t="s">
        <v>48</v>
      </c>
      <c r="B63" s="2" t="s">
        <v>548</v>
      </c>
      <c r="C63" s="2" t="s">
        <v>486</v>
      </c>
      <c r="D63" s="2" t="s">
        <v>125</v>
      </c>
      <c r="E63" s="2" t="s">
        <v>551</v>
      </c>
      <c r="F63" s="3">
        <v>-0.68</v>
      </c>
    </row>
    <row r="64" spans="1:6" ht="15" customHeight="1" x14ac:dyDescent="0.25">
      <c r="A64" s="2" t="s">
        <v>48</v>
      </c>
      <c r="B64" s="2" t="s">
        <v>548</v>
      </c>
      <c r="C64" s="2" t="s">
        <v>484</v>
      </c>
      <c r="D64" s="2" t="s">
        <v>125</v>
      </c>
      <c r="E64" s="2" t="s">
        <v>552</v>
      </c>
      <c r="F64" s="3">
        <v>4.55</v>
      </c>
    </row>
    <row r="65" spans="1:6" ht="15" customHeight="1" x14ac:dyDescent="0.25">
      <c r="A65" s="2" t="s">
        <v>50</v>
      </c>
      <c r="B65" s="2" t="s">
        <v>311</v>
      </c>
      <c r="C65" s="2" t="s">
        <v>475</v>
      </c>
      <c r="D65" s="2"/>
      <c r="E65" s="2" t="s">
        <v>553</v>
      </c>
      <c r="F65" s="3">
        <v>1492.94</v>
      </c>
    </row>
    <row r="66" spans="1:6" ht="15" customHeight="1" x14ac:dyDescent="0.25">
      <c r="A66" s="2" t="s">
        <v>50</v>
      </c>
      <c r="B66" s="2" t="s">
        <v>311</v>
      </c>
      <c r="C66" s="2" t="s">
        <v>475</v>
      </c>
      <c r="D66" s="2"/>
      <c r="E66" s="2" t="s">
        <v>554</v>
      </c>
      <c r="F66" s="3">
        <v>135.9</v>
      </c>
    </row>
    <row r="67" spans="1:6" ht="15" customHeight="1" x14ac:dyDescent="0.25">
      <c r="A67" s="2" t="s">
        <v>50</v>
      </c>
      <c r="B67" s="2" t="s">
        <v>311</v>
      </c>
      <c r="C67" s="2" t="s">
        <v>475</v>
      </c>
      <c r="D67" s="2"/>
      <c r="E67" s="2" t="s">
        <v>555</v>
      </c>
      <c r="F67" s="3">
        <v>10</v>
      </c>
    </row>
    <row r="68" spans="1:6" ht="15" customHeight="1" x14ac:dyDescent="0.25">
      <c r="A68" s="2" t="s">
        <v>50</v>
      </c>
      <c r="B68" s="2" t="s">
        <v>556</v>
      </c>
      <c r="C68" s="2" t="s">
        <v>486</v>
      </c>
      <c r="D68" s="2" t="s">
        <v>127</v>
      </c>
      <c r="E68" s="2" t="s">
        <v>557</v>
      </c>
      <c r="F68" s="3">
        <v>-0.74</v>
      </c>
    </row>
    <row r="69" spans="1:6" ht="15" customHeight="1" x14ac:dyDescent="0.25">
      <c r="A69" s="2" t="s">
        <v>50</v>
      </c>
      <c r="B69" s="2" t="s">
        <v>556</v>
      </c>
      <c r="C69" s="2" t="s">
        <v>484</v>
      </c>
      <c r="D69" s="2" t="s">
        <v>127</v>
      </c>
      <c r="E69" s="2" t="s">
        <v>558</v>
      </c>
      <c r="F69" s="3">
        <v>4.97</v>
      </c>
    </row>
    <row r="70" spans="1:6" ht="15" customHeight="1" x14ac:dyDescent="0.25">
      <c r="A70" s="2" t="s">
        <v>50</v>
      </c>
      <c r="B70" s="2" t="s">
        <v>559</v>
      </c>
      <c r="C70" s="2" t="s">
        <v>486</v>
      </c>
      <c r="D70" s="2" t="s">
        <v>115</v>
      </c>
      <c r="E70" s="2" t="s">
        <v>560</v>
      </c>
      <c r="F70" s="3">
        <v>-2.09</v>
      </c>
    </row>
    <row r="71" spans="1:6" ht="15" customHeight="1" x14ac:dyDescent="0.25">
      <c r="A71" s="2" t="s">
        <v>50</v>
      </c>
      <c r="B71" s="2" t="s">
        <v>559</v>
      </c>
      <c r="C71" s="2" t="s">
        <v>486</v>
      </c>
      <c r="D71" s="2" t="s">
        <v>129</v>
      </c>
      <c r="E71" s="2" t="s">
        <v>561</v>
      </c>
      <c r="F71" s="3">
        <v>-0.22</v>
      </c>
    </row>
    <row r="72" spans="1:6" ht="15" customHeight="1" x14ac:dyDescent="0.25">
      <c r="A72" s="2" t="s">
        <v>50</v>
      </c>
      <c r="B72" s="2" t="s">
        <v>559</v>
      </c>
      <c r="C72" s="2" t="s">
        <v>484</v>
      </c>
      <c r="D72" s="2" t="s">
        <v>119</v>
      </c>
      <c r="E72" s="2" t="s">
        <v>562</v>
      </c>
      <c r="F72" s="3">
        <v>5.26</v>
      </c>
    </row>
    <row r="73" spans="1:6" ht="15" customHeight="1" x14ac:dyDescent="0.25">
      <c r="A73" s="2" t="s">
        <v>50</v>
      </c>
      <c r="B73" s="2" t="s">
        <v>559</v>
      </c>
      <c r="C73" s="2" t="s">
        <v>484</v>
      </c>
      <c r="D73" s="2" t="s">
        <v>115</v>
      </c>
      <c r="E73" s="2" t="s">
        <v>563</v>
      </c>
      <c r="F73" s="3">
        <v>13.98</v>
      </c>
    </row>
    <row r="74" spans="1:6" ht="15" customHeight="1" x14ac:dyDescent="0.25">
      <c r="A74" s="2" t="s">
        <v>50</v>
      </c>
      <c r="B74" s="2" t="s">
        <v>559</v>
      </c>
      <c r="C74" s="2" t="s">
        <v>486</v>
      </c>
      <c r="D74" s="2" t="s">
        <v>119</v>
      </c>
      <c r="E74" s="2" t="s">
        <v>564</v>
      </c>
      <c r="F74" s="3">
        <v>-0.78</v>
      </c>
    </row>
    <row r="75" spans="1:6" ht="15" customHeight="1" x14ac:dyDescent="0.25">
      <c r="A75" s="2" t="s">
        <v>50</v>
      </c>
      <c r="B75" s="2" t="s">
        <v>559</v>
      </c>
      <c r="C75" s="2" t="s">
        <v>486</v>
      </c>
      <c r="D75" s="2" t="s">
        <v>132</v>
      </c>
      <c r="E75" s="2" t="s">
        <v>565</v>
      </c>
      <c r="F75" s="3">
        <v>-0.61</v>
      </c>
    </row>
    <row r="76" spans="1:6" ht="15" customHeight="1" x14ac:dyDescent="0.25">
      <c r="A76" s="2" t="s">
        <v>50</v>
      </c>
      <c r="B76" s="2" t="s">
        <v>559</v>
      </c>
      <c r="C76" s="2" t="s">
        <v>484</v>
      </c>
      <c r="D76" s="2" t="s">
        <v>132</v>
      </c>
      <c r="E76" s="2" t="s">
        <v>566</v>
      </c>
      <c r="F76" s="3">
        <v>4.1100000000000003</v>
      </c>
    </row>
    <row r="77" spans="1:6" ht="15" customHeight="1" x14ac:dyDescent="0.25">
      <c r="A77" s="2" t="s">
        <v>50</v>
      </c>
      <c r="B77" s="2" t="s">
        <v>559</v>
      </c>
      <c r="C77" s="2" t="s">
        <v>484</v>
      </c>
      <c r="D77" s="2" t="s">
        <v>129</v>
      </c>
      <c r="E77" s="2" t="s">
        <v>567</v>
      </c>
      <c r="F77" s="3">
        <v>1.49</v>
      </c>
    </row>
    <row r="78" spans="1:6" ht="15" customHeight="1" x14ac:dyDescent="0.25">
      <c r="A78" s="2" t="s">
        <v>50</v>
      </c>
      <c r="B78" s="2" t="s">
        <v>568</v>
      </c>
      <c r="C78" s="2" t="s">
        <v>486</v>
      </c>
      <c r="D78" s="2" t="s">
        <v>107</v>
      </c>
      <c r="E78" s="2" t="s">
        <v>569</v>
      </c>
      <c r="F78" s="3">
        <v>-0.05</v>
      </c>
    </row>
    <row r="79" spans="1:6" ht="15" customHeight="1" x14ac:dyDescent="0.25">
      <c r="A79" s="2" t="s">
        <v>50</v>
      </c>
      <c r="B79" s="2" t="s">
        <v>568</v>
      </c>
      <c r="C79" s="2" t="s">
        <v>484</v>
      </c>
      <c r="D79" s="2" t="s">
        <v>107</v>
      </c>
      <c r="E79" s="2" t="s">
        <v>570</v>
      </c>
      <c r="F79" s="3">
        <v>0.34</v>
      </c>
    </row>
    <row r="80" spans="1:6" ht="15" customHeight="1" x14ac:dyDescent="0.25">
      <c r="A80" s="2" t="s">
        <v>50</v>
      </c>
      <c r="B80" s="2" t="s">
        <v>312</v>
      </c>
      <c r="C80" s="2" t="s">
        <v>475</v>
      </c>
      <c r="D80" s="2"/>
      <c r="E80" s="2" t="s">
        <v>571</v>
      </c>
      <c r="F80" s="3">
        <v>544.66</v>
      </c>
    </row>
    <row r="81" spans="1:6" ht="15" customHeight="1" x14ac:dyDescent="0.25">
      <c r="A81" s="2" t="s">
        <v>50</v>
      </c>
      <c r="B81" s="2" t="s">
        <v>572</v>
      </c>
      <c r="C81" s="2" t="s">
        <v>486</v>
      </c>
      <c r="D81" s="2" t="s">
        <v>113</v>
      </c>
      <c r="E81" s="2" t="s">
        <v>573</v>
      </c>
      <c r="F81" s="3">
        <v>-0.03</v>
      </c>
    </row>
    <row r="82" spans="1:6" ht="15" customHeight="1" x14ac:dyDescent="0.25">
      <c r="A82" s="2" t="s">
        <v>50</v>
      </c>
      <c r="B82" s="2" t="s">
        <v>572</v>
      </c>
      <c r="C82" s="2" t="s">
        <v>486</v>
      </c>
      <c r="D82" s="2" t="s">
        <v>121</v>
      </c>
      <c r="E82" s="2" t="s">
        <v>574</v>
      </c>
      <c r="F82" s="3">
        <v>-3.45</v>
      </c>
    </row>
    <row r="83" spans="1:6" ht="15" customHeight="1" x14ac:dyDescent="0.25">
      <c r="A83" s="2" t="s">
        <v>50</v>
      </c>
      <c r="B83" s="2" t="s">
        <v>572</v>
      </c>
      <c r="C83" s="2" t="s">
        <v>484</v>
      </c>
      <c r="D83" s="2" t="s">
        <v>121</v>
      </c>
      <c r="E83" s="2" t="s">
        <v>575</v>
      </c>
      <c r="F83" s="3">
        <v>23</v>
      </c>
    </row>
    <row r="84" spans="1:6" ht="15" customHeight="1" x14ac:dyDescent="0.25">
      <c r="A84" s="2" t="s">
        <v>50</v>
      </c>
      <c r="B84" s="2" t="s">
        <v>572</v>
      </c>
      <c r="C84" s="2" t="s">
        <v>484</v>
      </c>
      <c r="D84" s="2" t="s">
        <v>113</v>
      </c>
      <c r="E84" s="2" t="s">
        <v>576</v>
      </c>
      <c r="F84" s="3">
        <v>0.25</v>
      </c>
    </row>
    <row r="85" spans="1:6" ht="15" customHeight="1" x14ac:dyDescent="0.25">
      <c r="A85" s="2" t="s">
        <v>50</v>
      </c>
      <c r="B85" s="2" t="s">
        <v>572</v>
      </c>
      <c r="C85" s="2" t="s">
        <v>484</v>
      </c>
      <c r="D85" s="2" t="s">
        <v>125</v>
      </c>
      <c r="E85" s="2" t="s">
        <v>577</v>
      </c>
      <c r="F85" s="3">
        <v>4.55</v>
      </c>
    </row>
    <row r="86" spans="1:6" ht="15" customHeight="1" x14ac:dyDescent="0.25">
      <c r="A86" s="2" t="s">
        <v>50</v>
      </c>
      <c r="B86" s="2" t="s">
        <v>572</v>
      </c>
      <c r="C86" s="2" t="s">
        <v>486</v>
      </c>
      <c r="D86" s="2" t="s">
        <v>125</v>
      </c>
      <c r="E86" s="2" t="s">
        <v>551</v>
      </c>
      <c r="F86" s="3">
        <v>-0.68</v>
      </c>
    </row>
    <row r="87" spans="1:6" ht="15" customHeight="1" x14ac:dyDescent="0.25">
      <c r="A87" s="2" t="s">
        <v>52</v>
      </c>
      <c r="B87" s="2" t="s">
        <v>313</v>
      </c>
      <c r="C87" s="2" t="s">
        <v>475</v>
      </c>
      <c r="D87" s="2"/>
      <c r="E87" s="2" t="s">
        <v>578</v>
      </c>
      <c r="F87" s="3">
        <v>1899.07</v>
      </c>
    </row>
    <row r="88" spans="1:6" ht="15" customHeight="1" x14ac:dyDescent="0.25">
      <c r="A88" s="2" t="s">
        <v>52</v>
      </c>
      <c r="B88" s="2" t="s">
        <v>313</v>
      </c>
      <c r="C88" s="2" t="s">
        <v>484</v>
      </c>
      <c r="D88" s="2" t="s">
        <v>117</v>
      </c>
      <c r="E88" s="2" t="s">
        <v>579</v>
      </c>
      <c r="F88" s="3">
        <v>2.96</v>
      </c>
    </row>
    <row r="89" spans="1:6" ht="15" customHeight="1" x14ac:dyDescent="0.25">
      <c r="A89" s="2" t="s">
        <v>52</v>
      </c>
      <c r="B89" s="2" t="s">
        <v>313</v>
      </c>
      <c r="C89" s="2" t="s">
        <v>486</v>
      </c>
      <c r="D89" s="2" t="s">
        <v>123</v>
      </c>
      <c r="E89" s="2" t="s">
        <v>580</v>
      </c>
      <c r="F89" s="3">
        <v>-0.34</v>
      </c>
    </row>
    <row r="90" spans="1:6" ht="15" customHeight="1" x14ac:dyDescent="0.25">
      <c r="A90" s="2" t="s">
        <v>52</v>
      </c>
      <c r="B90" s="2" t="s">
        <v>313</v>
      </c>
      <c r="C90" s="2" t="s">
        <v>486</v>
      </c>
      <c r="D90" s="2" t="s">
        <v>117</v>
      </c>
      <c r="E90" s="2" t="s">
        <v>581</v>
      </c>
      <c r="F90" s="3">
        <v>-0.44</v>
      </c>
    </row>
    <row r="91" spans="1:6" ht="15" customHeight="1" x14ac:dyDescent="0.25">
      <c r="A91" s="2" t="s">
        <v>52</v>
      </c>
      <c r="B91" s="2" t="s">
        <v>313</v>
      </c>
      <c r="C91" s="2" t="s">
        <v>484</v>
      </c>
      <c r="D91" s="2" t="s">
        <v>123</v>
      </c>
      <c r="E91" s="2" t="s">
        <v>582</v>
      </c>
      <c r="F91" s="3">
        <v>2.2799999999999998</v>
      </c>
    </row>
    <row r="92" spans="1:6" ht="15" customHeight="1" x14ac:dyDescent="0.25">
      <c r="A92" s="2" t="s">
        <v>52</v>
      </c>
      <c r="B92" s="2" t="s">
        <v>583</v>
      </c>
      <c r="C92" s="2" t="s">
        <v>484</v>
      </c>
      <c r="D92" s="2" t="s">
        <v>109</v>
      </c>
      <c r="E92" s="2" t="s">
        <v>584</v>
      </c>
      <c r="F92" s="3">
        <v>0.01</v>
      </c>
    </row>
    <row r="93" spans="1:6" ht="15" customHeight="1" x14ac:dyDescent="0.25">
      <c r="A93" s="2" t="s">
        <v>52</v>
      </c>
      <c r="B93" s="2" t="s">
        <v>583</v>
      </c>
      <c r="C93" s="2" t="s">
        <v>484</v>
      </c>
      <c r="D93" s="2" t="s">
        <v>115</v>
      </c>
      <c r="E93" s="2" t="s">
        <v>585</v>
      </c>
      <c r="F93" s="3">
        <v>16.559999999999999</v>
      </c>
    </row>
    <row r="94" spans="1:6" ht="15" customHeight="1" x14ac:dyDescent="0.25">
      <c r="A94" s="2" t="s">
        <v>52</v>
      </c>
      <c r="B94" s="2" t="s">
        <v>583</v>
      </c>
      <c r="C94" s="2" t="s">
        <v>486</v>
      </c>
      <c r="D94" s="2" t="s">
        <v>127</v>
      </c>
      <c r="E94" s="2" t="s">
        <v>586</v>
      </c>
      <c r="F94" s="3">
        <v>-0.9</v>
      </c>
    </row>
    <row r="95" spans="1:6" ht="15" customHeight="1" x14ac:dyDescent="0.25">
      <c r="A95" s="2" t="s">
        <v>52</v>
      </c>
      <c r="B95" s="2" t="s">
        <v>583</v>
      </c>
      <c r="C95" s="2" t="s">
        <v>486</v>
      </c>
      <c r="D95" s="2" t="s">
        <v>115</v>
      </c>
      <c r="E95" s="2" t="s">
        <v>587</v>
      </c>
      <c r="F95" s="3">
        <v>-2.48</v>
      </c>
    </row>
    <row r="96" spans="1:6" ht="15" customHeight="1" x14ac:dyDescent="0.25">
      <c r="A96" s="2" t="s">
        <v>52</v>
      </c>
      <c r="B96" s="2" t="s">
        <v>583</v>
      </c>
      <c r="C96" s="2" t="s">
        <v>484</v>
      </c>
      <c r="D96" s="2" t="s">
        <v>119</v>
      </c>
      <c r="E96" s="2" t="s">
        <v>588</v>
      </c>
      <c r="F96" s="3">
        <v>7.25</v>
      </c>
    </row>
    <row r="97" spans="1:6" ht="15" customHeight="1" x14ac:dyDescent="0.25">
      <c r="A97" s="2" t="s">
        <v>52</v>
      </c>
      <c r="B97" s="2" t="s">
        <v>583</v>
      </c>
      <c r="C97" s="2" t="s">
        <v>486</v>
      </c>
      <c r="D97" s="2" t="s">
        <v>119</v>
      </c>
      <c r="E97" s="2" t="s">
        <v>589</v>
      </c>
      <c r="F97" s="3">
        <v>-1.08</v>
      </c>
    </row>
    <row r="98" spans="1:6" ht="15" customHeight="1" x14ac:dyDescent="0.25">
      <c r="A98" s="2" t="s">
        <v>52</v>
      </c>
      <c r="B98" s="2" t="s">
        <v>583</v>
      </c>
      <c r="C98" s="2" t="s">
        <v>484</v>
      </c>
      <c r="D98" s="2" t="s">
        <v>127</v>
      </c>
      <c r="E98" s="2" t="s">
        <v>590</v>
      </c>
      <c r="F98" s="3">
        <v>6</v>
      </c>
    </row>
    <row r="99" spans="1:6" ht="15" customHeight="1" x14ac:dyDescent="0.25">
      <c r="A99" s="2" t="s">
        <v>52</v>
      </c>
      <c r="B99" s="2" t="s">
        <v>591</v>
      </c>
      <c r="C99" s="2" t="s">
        <v>484</v>
      </c>
      <c r="D99" s="2" t="s">
        <v>129</v>
      </c>
      <c r="E99" s="2" t="s">
        <v>592</v>
      </c>
      <c r="F99" s="3">
        <v>1.99</v>
      </c>
    </row>
    <row r="100" spans="1:6" ht="15" customHeight="1" x14ac:dyDescent="0.25">
      <c r="A100" s="2" t="s">
        <v>52</v>
      </c>
      <c r="B100" s="2" t="s">
        <v>591</v>
      </c>
      <c r="C100" s="2" t="s">
        <v>484</v>
      </c>
      <c r="D100" s="2" t="s">
        <v>132</v>
      </c>
      <c r="E100" s="2" t="s">
        <v>593</v>
      </c>
      <c r="F100" s="3">
        <v>5.61</v>
      </c>
    </row>
    <row r="101" spans="1:6" ht="15" customHeight="1" x14ac:dyDescent="0.25">
      <c r="A101" s="2" t="s">
        <v>52</v>
      </c>
      <c r="B101" s="2" t="s">
        <v>591</v>
      </c>
      <c r="C101" s="2" t="s">
        <v>486</v>
      </c>
      <c r="D101" s="2" t="s">
        <v>129</v>
      </c>
      <c r="E101" s="2" t="s">
        <v>594</v>
      </c>
      <c r="F101" s="3">
        <v>-0.28999999999999998</v>
      </c>
    </row>
    <row r="102" spans="1:6" ht="15" customHeight="1" x14ac:dyDescent="0.25">
      <c r="A102" s="2" t="s">
        <v>52</v>
      </c>
      <c r="B102" s="2" t="s">
        <v>591</v>
      </c>
      <c r="C102" s="2" t="s">
        <v>486</v>
      </c>
      <c r="D102" s="2" t="s">
        <v>132</v>
      </c>
      <c r="E102" s="2" t="s">
        <v>595</v>
      </c>
      <c r="F102" s="3">
        <v>-0.84</v>
      </c>
    </row>
    <row r="103" spans="1:6" ht="15" customHeight="1" x14ac:dyDescent="0.25">
      <c r="A103" s="2" t="s">
        <v>52</v>
      </c>
      <c r="B103" s="2" t="s">
        <v>591</v>
      </c>
      <c r="C103" s="2" t="s">
        <v>484</v>
      </c>
      <c r="D103" s="2" t="s">
        <v>145</v>
      </c>
      <c r="E103" s="2" t="s">
        <v>596</v>
      </c>
      <c r="F103" s="3">
        <v>8.08</v>
      </c>
    </row>
    <row r="104" spans="1:6" ht="15" customHeight="1" x14ac:dyDescent="0.25">
      <c r="A104" s="2" t="s">
        <v>52</v>
      </c>
      <c r="B104" s="2" t="s">
        <v>591</v>
      </c>
      <c r="C104" s="2" t="s">
        <v>486</v>
      </c>
      <c r="D104" s="2" t="s">
        <v>145</v>
      </c>
      <c r="E104" s="2" t="s">
        <v>597</v>
      </c>
      <c r="F104" s="3">
        <v>-1.21</v>
      </c>
    </row>
    <row r="105" spans="1:6" ht="15" customHeight="1" x14ac:dyDescent="0.25">
      <c r="A105" s="2" t="s">
        <v>52</v>
      </c>
      <c r="B105" s="2" t="s">
        <v>591</v>
      </c>
      <c r="C105" s="2" t="s">
        <v>484</v>
      </c>
      <c r="D105" s="2" t="s">
        <v>140</v>
      </c>
      <c r="E105" s="2" t="s">
        <v>598</v>
      </c>
      <c r="F105" s="3">
        <v>28.32</v>
      </c>
    </row>
    <row r="106" spans="1:6" ht="15" customHeight="1" x14ac:dyDescent="0.25">
      <c r="A106" s="2" t="s">
        <v>52</v>
      </c>
      <c r="B106" s="2" t="s">
        <v>591</v>
      </c>
      <c r="C106" s="2" t="s">
        <v>486</v>
      </c>
      <c r="D106" s="2" t="s">
        <v>140</v>
      </c>
      <c r="E106" s="2" t="s">
        <v>599</v>
      </c>
      <c r="F106" s="3">
        <v>-4.24</v>
      </c>
    </row>
    <row r="107" spans="1:6" ht="15" customHeight="1" x14ac:dyDescent="0.25">
      <c r="A107" s="2" t="s">
        <v>52</v>
      </c>
      <c r="B107" s="2" t="s">
        <v>314</v>
      </c>
      <c r="C107" s="2" t="s">
        <v>475</v>
      </c>
      <c r="D107" s="2"/>
      <c r="E107" s="2" t="s">
        <v>600</v>
      </c>
      <c r="F107" s="3">
        <v>275.33</v>
      </c>
    </row>
    <row r="108" spans="1:6" ht="15" customHeight="1" x14ac:dyDescent="0.25">
      <c r="A108" s="2" t="s">
        <v>52</v>
      </c>
      <c r="B108" s="2" t="s">
        <v>314</v>
      </c>
      <c r="C108" s="2" t="s">
        <v>475</v>
      </c>
      <c r="D108" s="2"/>
      <c r="E108" s="2" t="s">
        <v>601</v>
      </c>
      <c r="F108" s="3">
        <v>1101.01</v>
      </c>
    </row>
    <row r="109" spans="1:6" ht="15" customHeight="1" x14ac:dyDescent="0.25">
      <c r="A109" s="2" t="s">
        <v>52</v>
      </c>
      <c r="B109" s="2" t="s">
        <v>314</v>
      </c>
      <c r="C109" s="2" t="s">
        <v>475</v>
      </c>
      <c r="D109" s="2"/>
      <c r="E109" s="2" t="s">
        <v>602</v>
      </c>
      <c r="F109" s="3">
        <v>3859.93</v>
      </c>
    </row>
    <row r="110" spans="1:6" ht="15" customHeight="1" x14ac:dyDescent="0.25">
      <c r="A110" s="2" t="s">
        <v>52</v>
      </c>
      <c r="B110" s="2" t="s">
        <v>314</v>
      </c>
      <c r="C110" s="2" t="s">
        <v>475</v>
      </c>
      <c r="D110" s="2"/>
      <c r="E110" s="2" t="s">
        <v>603</v>
      </c>
      <c r="F110" s="3">
        <v>1378.92</v>
      </c>
    </row>
    <row r="111" spans="1:6" ht="15" customHeight="1" x14ac:dyDescent="0.25">
      <c r="A111" s="2" t="s">
        <v>52</v>
      </c>
      <c r="B111" s="2" t="s">
        <v>314</v>
      </c>
      <c r="C111" s="2" t="s">
        <v>475</v>
      </c>
      <c r="D111" s="2"/>
      <c r="E111" s="2" t="s">
        <v>604</v>
      </c>
      <c r="F111" s="3">
        <v>2757.85</v>
      </c>
    </row>
    <row r="112" spans="1:6" ht="15" customHeight="1" x14ac:dyDescent="0.25">
      <c r="A112" s="2" t="s">
        <v>52</v>
      </c>
      <c r="B112" s="2" t="s">
        <v>315</v>
      </c>
      <c r="C112" s="2" t="s">
        <v>486</v>
      </c>
      <c r="D112" s="2" t="s">
        <v>136</v>
      </c>
      <c r="E112" s="2" t="s">
        <v>605</v>
      </c>
      <c r="F112" s="3">
        <v>-0.12</v>
      </c>
    </row>
    <row r="113" spans="1:6" ht="15" customHeight="1" x14ac:dyDescent="0.25">
      <c r="A113" s="2" t="s">
        <v>52</v>
      </c>
      <c r="B113" s="2" t="s">
        <v>315</v>
      </c>
      <c r="C113" s="2" t="s">
        <v>486</v>
      </c>
      <c r="D113" s="2" t="s">
        <v>134</v>
      </c>
      <c r="E113" s="2" t="s">
        <v>606</v>
      </c>
      <c r="F113" s="3">
        <v>-0.19</v>
      </c>
    </row>
    <row r="114" spans="1:6" ht="15" customHeight="1" x14ac:dyDescent="0.25">
      <c r="A114" s="2" t="s">
        <v>52</v>
      </c>
      <c r="B114" s="2" t="s">
        <v>315</v>
      </c>
      <c r="C114" s="2" t="s">
        <v>484</v>
      </c>
      <c r="D114" s="2" t="s">
        <v>136</v>
      </c>
      <c r="E114" s="2" t="s">
        <v>607</v>
      </c>
      <c r="F114" s="3">
        <v>0.83</v>
      </c>
    </row>
    <row r="115" spans="1:6" ht="15" customHeight="1" x14ac:dyDescent="0.25">
      <c r="A115" s="2" t="s">
        <v>52</v>
      </c>
      <c r="B115" s="2" t="s">
        <v>315</v>
      </c>
      <c r="C115" s="2" t="s">
        <v>484</v>
      </c>
      <c r="D115" s="2" t="s">
        <v>134</v>
      </c>
      <c r="E115" s="2" t="s">
        <v>608</v>
      </c>
      <c r="F115" s="3">
        <v>1.27</v>
      </c>
    </row>
    <row r="116" spans="1:6" ht="15" customHeight="1" x14ac:dyDescent="0.25">
      <c r="A116" s="2" t="s">
        <v>52</v>
      </c>
      <c r="B116" s="2" t="s">
        <v>609</v>
      </c>
      <c r="C116" s="2" t="s">
        <v>486</v>
      </c>
      <c r="D116" s="2" t="s">
        <v>117</v>
      </c>
      <c r="E116" s="2" t="s">
        <v>610</v>
      </c>
      <c r="F116" s="3">
        <v>-0.46</v>
      </c>
    </row>
    <row r="117" spans="1:6" ht="15" customHeight="1" x14ac:dyDescent="0.25">
      <c r="A117" s="2" t="s">
        <v>52</v>
      </c>
      <c r="B117" s="2" t="s">
        <v>609</v>
      </c>
      <c r="C117" s="2" t="s">
        <v>486</v>
      </c>
      <c r="D117" s="2" t="s">
        <v>123</v>
      </c>
      <c r="E117" s="2" t="s">
        <v>580</v>
      </c>
      <c r="F117" s="3">
        <v>-0.34</v>
      </c>
    </row>
    <row r="118" spans="1:6" ht="15" customHeight="1" x14ac:dyDescent="0.25">
      <c r="A118" s="2" t="s">
        <v>52</v>
      </c>
      <c r="B118" s="2" t="s">
        <v>609</v>
      </c>
      <c r="C118" s="2" t="s">
        <v>484</v>
      </c>
      <c r="D118" s="2" t="s">
        <v>117</v>
      </c>
      <c r="E118" s="2" t="s">
        <v>611</v>
      </c>
      <c r="F118" s="3">
        <v>3.11</v>
      </c>
    </row>
    <row r="119" spans="1:6" ht="15" customHeight="1" x14ac:dyDescent="0.25">
      <c r="A119" s="2" t="s">
        <v>52</v>
      </c>
      <c r="B119" s="2" t="s">
        <v>609</v>
      </c>
      <c r="C119" s="2" t="s">
        <v>484</v>
      </c>
      <c r="D119" s="2" t="s">
        <v>123</v>
      </c>
      <c r="E119" s="2" t="s">
        <v>612</v>
      </c>
      <c r="F119" s="3">
        <v>2.2799999999999998</v>
      </c>
    </row>
    <row r="120" spans="1:6" ht="15" customHeight="1" x14ac:dyDescent="0.25">
      <c r="A120" s="2" t="s">
        <v>52</v>
      </c>
      <c r="B120" s="2" t="s">
        <v>613</v>
      </c>
      <c r="C120" s="2" t="s">
        <v>484</v>
      </c>
      <c r="D120" s="2" t="s">
        <v>121</v>
      </c>
      <c r="E120" s="2" t="s">
        <v>614</v>
      </c>
      <c r="F120" s="3">
        <v>29.05</v>
      </c>
    </row>
    <row r="121" spans="1:6" ht="15" customHeight="1" x14ac:dyDescent="0.25">
      <c r="A121" s="2" t="s">
        <v>52</v>
      </c>
      <c r="B121" s="2" t="s">
        <v>613</v>
      </c>
      <c r="C121" s="2" t="s">
        <v>486</v>
      </c>
      <c r="D121" s="2" t="s">
        <v>121</v>
      </c>
      <c r="E121" s="2" t="s">
        <v>615</v>
      </c>
      <c r="F121" s="3">
        <v>-4.3499999999999996</v>
      </c>
    </row>
    <row r="122" spans="1:6" ht="15" customHeight="1" x14ac:dyDescent="0.25">
      <c r="A122" s="2" t="s">
        <v>52</v>
      </c>
      <c r="B122" s="2" t="s">
        <v>613</v>
      </c>
      <c r="C122" s="2" t="s">
        <v>486</v>
      </c>
      <c r="D122" s="2" t="s">
        <v>125</v>
      </c>
      <c r="E122" s="2" t="s">
        <v>551</v>
      </c>
      <c r="F122" s="3">
        <v>-0.68</v>
      </c>
    </row>
    <row r="123" spans="1:6" ht="15" customHeight="1" x14ac:dyDescent="0.25">
      <c r="A123" s="2" t="s">
        <v>52</v>
      </c>
      <c r="B123" s="2" t="s">
        <v>613</v>
      </c>
      <c r="C123" s="2" t="s">
        <v>484</v>
      </c>
      <c r="D123" s="2" t="s">
        <v>125</v>
      </c>
      <c r="E123" s="2" t="s">
        <v>616</v>
      </c>
      <c r="F123" s="3">
        <v>4.55</v>
      </c>
    </row>
    <row r="124" spans="1:6" ht="15" customHeight="1" x14ac:dyDescent="0.25">
      <c r="A124" s="2" t="s">
        <v>54</v>
      </c>
      <c r="B124" s="2" t="s">
        <v>317</v>
      </c>
      <c r="C124" s="2" t="s">
        <v>475</v>
      </c>
      <c r="D124" s="2"/>
      <c r="E124" s="2" t="s">
        <v>617</v>
      </c>
      <c r="F124" s="3">
        <v>0.01</v>
      </c>
    </row>
    <row r="125" spans="1:6" ht="15" customHeight="1" x14ac:dyDescent="0.25">
      <c r="A125" s="2" t="s">
        <v>54</v>
      </c>
      <c r="B125" s="2" t="s">
        <v>618</v>
      </c>
      <c r="C125" s="2" t="s">
        <v>486</v>
      </c>
      <c r="D125" s="2" t="s">
        <v>127</v>
      </c>
      <c r="E125" s="2" t="s">
        <v>619</v>
      </c>
      <c r="F125" s="3">
        <v>-0.99</v>
      </c>
    </row>
    <row r="126" spans="1:6" ht="15" customHeight="1" x14ac:dyDescent="0.25">
      <c r="A126" s="2" t="s">
        <v>54</v>
      </c>
      <c r="B126" s="2" t="s">
        <v>618</v>
      </c>
      <c r="C126" s="2" t="s">
        <v>486</v>
      </c>
      <c r="D126" s="2" t="s">
        <v>115</v>
      </c>
      <c r="E126" s="2" t="s">
        <v>620</v>
      </c>
      <c r="F126" s="3">
        <v>-2.85</v>
      </c>
    </row>
    <row r="127" spans="1:6" ht="15" customHeight="1" x14ac:dyDescent="0.25">
      <c r="A127" s="2" t="s">
        <v>54</v>
      </c>
      <c r="B127" s="2" t="s">
        <v>618</v>
      </c>
      <c r="C127" s="2" t="s">
        <v>484</v>
      </c>
      <c r="D127" s="2" t="s">
        <v>127</v>
      </c>
      <c r="E127" s="2" t="s">
        <v>621</v>
      </c>
      <c r="F127" s="3">
        <v>6.62</v>
      </c>
    </row>
    <row r="128" spans="1:6" ht="15" customHeight="1" x14ac:dyDescent="0.25">
      <c r="A128" s="2" t="s">
        <v>54</v>
      </c>
      <c r="B128" s="2" t="s">
        <v>618</v>
      </c>
      <c r="C128" s="2" t="s">
        <v>486</v>
      </c>
      <c r="D128" s="2" t="s">
        <v>119</v>
      </c>
      <c r="E128" s="2" t="s">
        <v>622</v>
      </c>
      <c r="F128" s="3">
        <v>-1.31</v>
      </c>
    </row>
    <row r="129" spans="1:6" ht="15" customHeight="1" x14ac:dyDescent="0.25">
      <c r="A129" s="2" t="s">
        <v>54</v>
      </c>
      <c r="B129" s="2" t="s">
        <v>618</v>
      </c>
      <c r="C129" s="2" t="s">
        <v>484</v>
      </c>
      <c r="D129" s="2" t="s">
        <v>115</v>
      </c>
      <c r="E129" s="2" t="s">
        <v>623</v>
      </c>
      <c r="F129" s="3">
        <v>19.02</v>
      </c>
    </row>
    <row r="130" spans="1:6" ht="15" customHeight="1" x14ac:dyDescent="0.25">
      <c r="A130" s="2" t="s">
        <v>54</v>
      </c>
      <c r="B130" s="2" t="s">
        <v>618</v>
      </c>
      <c r="C130" s="2" t="s">
        <v>484</v>
      </c>
      <c r="D130" s="2" t="s">
        <v>119</v>
      </c>
      <c r="E130" s="2" t="s">
        <v>624</v>
      </c>
      <c r="F130" s="3">
        <v>8.75</v>
      </c>
    </row>
    <row r="131" spans="1:6" ht="15" customHeight="1" x14ac:dyDescent="0.25">
      <c r="A131" s="2" t="s">
        <v>54</v>
      </c>
      <c r="B131" s="2" t="s">
        <v>625</v>
      </c>
      <c r="C131" s="2" t="s">
        <v>486</v>
      </c>
      <c r="D131" s="2" t="s">
        <v>143</v>
      </c>
      <c r="E131" s="2" t="s">
        <v>561</v>
      </c>
      <c r="F131" s="3">
        <v>-0.22</v>
      </c>
    </row>
    <row r="132" spans="1:6" ht="15" customHeight="1" x14ac:dyDescent="0.25">
      <c r="A132" s="2" t="s">
        <v>54</v>
      </c>
      <c r="B132" s="2" t="s">
        <v>625</v>
      </c>
      <c r="C132" s="2" t="s">
        <v>486</v>
      </c>
      <c r="D132" s="2" t="s">
        <v>129</v>
      </c>
      <c r="E132" s="2" t="s">
        <v>626</v>
      </c>
      <c r="F132" s="3">
        <v>-0.52</v>
      </c>
    </row>
    <row r="133" spans="1:6" ht="15" customHeight="1" x14ac:dyDescent="0.25">
      <c r="A133" s="2" t="s">
        <v>54</v>
      </c>
      <c r="B133" s="2" t="s">
        <v>625</v>
      </c>
      <c r="C133" s="2" t="s">
        <v>484</v>
      </c>
      <c r="D133" s="2" t="s">
        <v>143</v>
      </c>
      <c r="E133" s="2" t="s">
        <v>627</v>
      </c>
      <c r="F133" s="3">
        <v>1.49</v>
      </c>
    </row>
    <row r="134" spans="1:6" ht="15" customHeight="1" x14ac:dyDescent="0.25">
      <c r="A134" s="2" t="s">
        <v>54</v>
      </c>
      <c r="B134" s="2" t="s">
        <v>625</v>
      </c>
      <c r="C134" s="2" t="s">
        <v>484</v>
      </c>
      <c r="D134" s="2" t="s">
        <v>129</v>
      </c>
      <c r="E134" s="2" t="s">
        <v>628</v>
      </c>
      <c r="F134" s="3">
        <v>3.5</v>
      </c>
    </row>
    <row r="135" spans="1:6" ht="15" customHeight="1" x14ac:dyDescent="0.25">
      <c r="A135" s="2" t="s">
        <v>54</v>
      </c>
      <c r="B135" s="2" t="s">
        <v>629</v>
      </c>
      <c r="C135" s="2" t="s">
        <v>486</v>
      </c>
      <c r="D135" s="2" t="s">
        <v>145</v>
      </c>
      <c r="E135" s="2" t="s">
        <v>630</v>
      </c>
      <c r="F135" s="3">
        <v>-0.61</v>
      </c>
    </row>
    <row r="136" spans="1:6" ht="15" customHeight="1" x14ac:dyDescent="0.25">
      <c r="A136" s="2" t="s">
        <v>54</v>
      </c>
      <c r="B136" s="2" t="s">
        <v>629</v>
      </c>
      <c r="C136" s="2" t="s">
        <v>486</v>
      </c>
      <c r="D136" s="2" t="s">
        <v>140</v>
      </c>
      <c r="E136" s="2" t="s">
        <v>631</v>
      </c>
      <c r="F136" s="3">
        <v>-2.71</v>
      </c>
    </row>
    <row r="137" spans="1:6" ht="15" customHeight="1" x14ac:dyDescent="0.25">
      <c r="A137" s="2" t="s">
        <v>54</v>
      </c>
      <c r="B137" s="2" t="s">
        <v>629</v>
      </c>
      <c r="C137" s="2" t="s">
        <v>486</v>
      </c>
      <c r="D137" s="2" t="s">
        <v>132</v>
      </c>
      <c r="E137" s="2" t="s">
        <v>632</v>
      </c>
      <c r="F137" s="3">
        <v>-0.89</v>
      </c>
    </row>
    <row r="138" spans="1:6" ht="15" customHeight="1" x14ac:dyDescent="0.25">
      <c r="A138" s="2" t="s">
        <v>54</v>
      </c>
      <c r="B138" s="2" t="s">
        <v>629</v>
      </c>
      <c r="C138" s="2" t="s">
        <v>484</v>
      </c>
      <c r="D138" s="2" t="s">
        <v>140</v>
      </c>
      <c r="E138" s="2" t="s">
        <v>633</v>
      </c>
      <c r="F138" s="3">
        <v>18.11</v>
      </c>
    </row>
    <row r="139" spans="1:6" ht="15" customHeight="1" x14ac:dyDescent="0.25">
      <c r="A139" s="2" t="s">
        <v>54</v>
      </c>
      <c r="B139" s="2" t="s">
        <v>629</v>
      </c>
      <c r="C139" s="2" t="s">
        <v>484</v>
      </c>
      <c r="D139" s="2" t="s">
        <v>132</v>
      </c>
      <c r="E139" s="2" t="s">
        <v>634</v>
      </c>
      <c r="F139" s="3">
        <v>5.99</v>
      </c>
    </row>
    <row r="140" spans="1:6" ht="15" customHeight="1" x14ac:dyDescent="0.25">
      <c r="A140" s="2" t="s">
        <v>54</v>
      </c>
      <c r="B140" s="2" t="s">
        <v>629</v>
      </c>
      <c r="C140" s="2" t="s">
        <v>484</v>
      </c>
      <c r="D140" s="2" t="s">
        <v>145</v>
      </c>
      <c r="E140" s="2" t="s">
        <v>635</v>
      </c>
      <c r="F140" s="3">
        <v>4.09</v>
      </c>
    </row>
    <row r="141" spans="1:6" ht="15" customHeight="1" x14ac:dyDescent="0.25">
      <c r="A141" s="2" t="s">
        <v>54</v>
      </c>
      <c r="B141" s="2" t="s">
        <v>318</v>
      </c>
      <c r="C141" s="2" t="s">
        <v>475</v>
      </c>
      <c r="D141" s="2"/>
      <c r="E141" s="2" t="s">
        <v>636</v>
      </c>
      <c r="F141" s="3">
        <v>6.65</v>
      </c>
    </row>
    <row r="142" spans="1:6" ht="15" customHeight="1" x14ac:dyDescent="0.25">
      <c r="A142" s="2" t="s">
        <v>54</v>
      </c>
      <c r="B142" s="2" t="s">
        <v>637</v>
      </c>
      <c r="C142" s="2" t="s">
        <v>484</v>
      </c>
      <c r="D142" s="2" t="s">
        <v>136</v>
      </c>
      <c r="E142" s="2" t="s">
        <v>638</v>
      </c>
      <c r="F142" s="3">
        <v>3.17</v>
      </c>
    </row>
    <row r="143" spans="1:6" ht="15" customHeight="1" x14ac:dyDescent="0.25">
      <c r="A143" s="2" t="s">
        <v>54</v>
      </c>
      <c r="B143" s="2" t="s">
        <v>637</v>
      </c>
      <c r="C143" s="2" t="s">
        <v>486</v>
      </c>
      <c r="D143" s="2" t="s">
        <v>136</v>
      </c>
      <c r="E143" s="2" t="s">
        <v>639</v>
      </c>
      <c r="F143" s="3">
        <v>-0.47</v>
      </c>
    </row>
    <row r="144" spans="1:6" ht="15" customHeight="1" x14ac:dyDescent="0.25">
      <c r="A144" s="2" t="s">
        <v>54</v>
      </c>
      <c r="B144" s="2" t="s">
        <v>637</v>
      </c>
      <c r="C144" s="2" t="s">
        <v>486</v>
      </c>
      <c r="D144" s="2" t="s">
        <v>134</v>
      </c>
      <c r="E144" s="2" t="s">
        <v>640</v>
      </c>
      <c r="F144" s="3">
        <v>-1.02</v>
      </c>
    </row>
    <row r="145" spans="1:6" ht="15" customHeight="1" x14ac:dyDescent="0.25">
      <c r="A145" s="2" t="s">
        <v>54</v>
      </c>
      <c r="B145" s="2" t="s">
        <v>637</v>
      </c>
      <c r="C145" s="2" t="s">
        <v>484</v>
      </c>
      <c r="D145" s="2" t="s">
        <v>134</v>
      </c>
      <c r="E145" s="2" t="s">
        <v>641</v>
      </c>
      <c r="F145" s="3">
        <v>6.85</v>
      </c>
    </row>
    <row r="146" spans="1:6" ht="15" customHeight="1" x14ac:dyDescent="0.25">
      <c r="A146" s="2" t="s">
        <v>54</v>
      </c>
      <c r="B146" s="2" t="s">
        <v>319</v>
      </c>
      <c r="C146" s="2" t="s">
        <v>486</v>
      </c>
      <c r="D146" s="2" t="s">
        <v>123</v>
      </c>
      <c r="E146" s="2" t="s">
        <v>580</v>
      </c>
      <c r="F146" s="3">
        <v>-0.34</v>
      </c>
    </row>
    <row r="147" spans="1:6" ht="15" customHeight="1" x14ac:dyDescent="0.25">
      <c r="A147" s="2" t="s">
        <v>54</v>
      </c>
      <c r="B147" s="2" t="s">
        <v>319</v>
      </c>
      <c r="C147" s="2" t="s">
        <v>486</v>
      </c>
      <c r="D147" s="2" t="s">
        <v>117</v>
      </c>
      <c r="E147" s="2" t="s">
        <v>642</v>
      </c>
      <c r="F147" s="3">
        <v>-0.47</v>
      </c>
    </row>
    <row r="148" spans="1:6" ht="15" customHeight="1" x14ac:dyDescent="0.25">
      <c r="A148" s="2" t="s">
        <v>54</v>
      </c>
      <c r="B148" s="2" t="s">
        <v>319</v>
      </c>
      <c r="C148" s="2" t="s">
        <v>484</v>
      </c>
      <c r="D148" s="2" t="s">
        <v>147</v>
      </c>
      <c r="E148" s="2" t="s">
        <v>643</v>
      </c>
      <c r="F148" s="3">
        <v>0.48</v>
      </c>
    </row>
    <row r="149" spans="1:6" ht="15" customHeight="1" x14ac:dyDescent="0.25">
      <c r="A149" s="2" t="s">
        <v>54</v>
      </c>
      <c r="B149" s="2" t="s">
        <v>319</v>
      </c>
      <c r="C149" s="2" t="s">
        <v>484</v>
      </c>
      <c r="D149" s="2" t="s">
        <v>117</v>
      </c>
      <c r="E149" s="2" t="s">
        <v>644</v>
      </c>
      <c r="F149" s="3">
        <v>3.14</v>
      </c>
    </row>
    <row r="150" spans="1:6" ht="15" customHeight="1" x14ac:dyDescent="0.25">
      <c r="A150" s="2" t="s">
        <v>54</v>
      </c>
      <c r="B150" s="2" t="s">
        <v>319</v>
      </c>
      <c r="C150" s="2" t="s">
        <v>484</v>
      </c>
      <c r="D150" s="2" t="s">
        <v>123</v>
      </c>
      <c r="E150" s="2" t="s">
        <v>645</v>
      </c>
      <c r="F150" s="3">
        <v>2.2799999999999998</v>
      </c>
    </row>
    <row r="151" spans="1:6" ht="15" customHeight="1" x14ac:dyDescent="0.25">
      <c r="A151" s="2" t="s">
        <v>54</v>
      </c>
      <c r="B151" s="2" t="s">
        <v>646</v>
      </c>
      <c r="C151" s="2" t="s">
        <v>486</v>
      </c>
      <c r="D151" s="2" t="s">
        <v>138</v>
      </c>
      <c r="E151" s="2" t="s">
        <v>647</v>
      </c>
      <c r="F151" s="3">
        <v>-0.28999999999999998</v>
      </c>
    </row>
    <row r="152" spans="1:6" ht="15" customHeight="1" x14ac:dyDescent="0.25">
      <c r="A152" s="2" t="s">
        <v>54</v>
      </c>
      <c r="B152" s="2" t="s">
        <v>646</v>
      </c>
      <c r="C152" s="2" t="s">
        <v>484</v>
      </c>
      <c r="D152" s="2" t="s">
        <v>138</v>
      </c>
      <c r="E152" s="2" t="s">
        <v>648</v>
      </c>
      <c r="F152" s="3">
        <v>1.95</v>
      </c>
    </row>
    <row r="153" spans="1:6" ht="15" customHeight="1" x14ac:dyDescent="0.25">
      <c r="A153" s="2" t="s">
        <v>54</v>
      </c>
      <c r="B153" s="2" t="s">
        <v>320</v>
      </c>
      <c r="C153" s="2" t="s">
        <v>486</v>
      </c>
      <c r="D153" s="2" t="s">
        <v>156</v>
      </c>
      <c r="E153" s="2" t="s">
        <v>649</v>
      </c>
      <c r="F153" s="3">
        <v>-0.69</v>
      </c>
    </row>
    <row r="154" spans="1:6" ht="15" customHeight="1" x14ac:dyDescent="0.25">
      <c r="A154" s="2" t="s">
        <v>54</v>
      </c>
      <c r="B154" s="2" t="s">
        <v>320</v>
      </c>
      <c r="C154" s="2" t="s">
        <v>486</v>
      </c>
      <c r="D154" s="2" t="s">
        <v>121</v>
      </c>
      <c r="E154" s="2" t="s">
        <v>650</v>
      </c>
      <c r="F154" s="3">
        <v>-4.1100000000000003</v>
      </c>
    </row>
    <row r="155" spans="1:6" ht="15" customHeight="1" x14ac:dyDescent="0.25">
      <c r="A155" s="2" t="s">
        <v>54</v>
      </c>
      <c r="B155" s="2" t="s">
        <v>320</v>
      </c>
      <c r="C155" s="2" t="s">
        <v>486</v>
      </c>
      <c r="D155" s="2" t="s">
        <v>125</v>
      </c>
      <c r="E155" s="2" t="s">
        <v>551</v>
      </c>
      <c r="F155" s="3">
        <v>-0.68</v>
      </c>
    </row>
    <row r="156" spans="1:6" ht="15" customHeight="1" x14ac:dyDescent="0.25">
      <c r="A156" s="2" t="s">
        <v>54</v>
      </c>
      <c r="B156" s="2" t="s">
        <v>320</v>
      </c>
      <c r="C156" s="2" t="s">
        <v>484</v>
      </c>
      <c r="D156" s="2" t="s">
        <v>156</v>
      </c>
      <c r="E156" s="2" t="s">
        <v>651</v>
      </c>
      <c r="F156" s="3">
        <v>4.66</v>
      </c>
    </row>
    <row r="157" spans="1:6" ht="15" customHeight="1" x14ac:dyDescent="0.25">
      <c r="A157" s="2" t="s">
        <v>54</v>
      </c>
      <c r="B157" s="2" t="s">
        <v>320</v>
      </c>
      <c r="C157" s="2" t="s">
        <v>484</v>
      </c>
      <c r="D157" s="2" t="s">
        <v>121</v>
      </c>
      <c r="E157" s="2" t="s">
        <v>652</v>
      </c>
      <c r="F157" s="3">
        <v>27.43</v>
      </c>
    </row>
    <row r="158" spans="1:6" ht="15" customHeight="1" x14ac:dyDescent="0.25">
      <c r="A158" s="2" t="s">
        <v>54</v>
      </c>
      <c r="B158" s="2" t="s">
        <v>320</v>
      </c>
      <c r="C158" s="2" t="s">
        <v>484</v>
      </c>
      <c r="D158" s="2" t="s">
        <v>125</v>
      </c>
      <c r="E158" s="2" t="s">
        <v>653</v>
      </c>
      <c r="F158" s="3">
        <v>4.55</v>
      </c>
    </row>
    <row r="159" spans="1:6" ht="15" customHeight="1" x14ac:dyDescent="0.25">
      <c r="A159" s="2" t="s">
        <v>56</v>
      </c>
      <c r="B159" s="2" t="s">
        <v>654</v>
      </c>
      <c r="C159" s="2" t="s">
        <v>484</v>
      </c>
      <c r="D159" s="2" t="s">
        <v>127</v>
      </c>
      <c r="E159" s="2" t="s">
        <v>655</v>
      </c>
      <c r="F159" s="3">
        <v>9.75</v>
      </c>
    </row>
    <row r="160" spans="1:6" ht="15" customHeight="1" x14ac:dyDescent="0.25">
      <c r="A160" s="2" t="s">
        <v>56</v>
      </c>
      <c r="B160" s="2" t="s">
        <v>654</v>
      </c>
      <c r="C160" s="2" t="s">
        <v>486</v>
      </c>
      <c r="D160" s="2" t="s">
        <v>127</v>
      </c>
      <c r="E160" s="2" t="s">
        <v>656</v>
      </c>
      <c r="F160" s="3">
        <v>-1.46</v>
      </c>
    </row>
    <row r="161" spans="1:6" ht="15" customHeight="1" x14ac:dyDescent="0.25">
      <c r="A161" s="2" t="s">
        <v>56</v>
      </c>
      <c r="B161" s="2" t="s">
        <v>654</v>
      </c>
      <c r="C161" s="2" t="s">
        <v>486</v>
      </c>
      <c r="D161" s="2" t="s">
        <v>119</v>
      </c>
      <c r="E161" s="2" t="s">
        <v>657</v>
      </c>
      <c r="F161" s="3">
        <v>-2.25</v>
      </c>
    </row>
    <row r="162" spans="1:6" ht="15" customHeight="1" x14ac:dyDescent="0.25">
      <c r="A162" s="2" t="s">
        <v>56</v>
      </c>
      <c r="B162" s="2" t="s">
        <v>654</v>
      </c>
      <c r="C162" s="2" t="s">
        <v>486</v>
      </c>
      <c r="D162" s="2" t="s">
        <v>115</v>
      </c>
      <c r="E162" s="2" t="s">
        <v>658</v>
      </c>
      <c r="F162" s="3">
        <v>-3.41</v>
      </c>
    </row>
    <row r="163" spans="1:6" ht="15" customHeight="1" x14ac:dyDescent="0.25">
      <c r="A163" s="2" t="s">
        <v>56</v>
      </c>
      <c r="B163" s="2" t="s">
        <v>654</v>
      </c>
      <c r="C163" s="2" t="s">
        <v>484</v>
      </c>
      <c r="D163" s="2" t="s">
        <v>119</v>
      </c>
      <c r="E163" s="2" t="s">
        <v>659</v>
      </c>
      <c r="F163" s="3">
        <v>15.04</v>
      </c>
    </row>
    <row r="164" spans="1:6" ht="15" customHeight="1" x14ac:dyDescent="0.25">
      <c r="A164" s="2" t="s">
        <v>56</v>
      </c>
      <c r="B164" s="2" t="s">
        <v>654</v>
      </c>
      <c r="C164" s="2" t="s">
        <v>484</v>
      </c>
      <c r="D164" s="2" t="s">
        <v>115</v>
      </c>
      <c r="E164" s="2" t="s">
        <v>660</v>
      </c>
      <c r="F164" s="3">
        <v>22.75</v>
      </c>
    </row>
    <row r="165" spans="1:6" ht="15" customHeight="1" x14ac:dyDescent="0.25">
      <c r="A165" s="2" t="s">
        <v>56</v>
      </c>
      <c r="B165" s="2" t="s">
        <v>661</v>
      </c>
      <c r="C165" s="2" t="s">
        <v>486</v>
      </c>
      <c r="D165" s="2" t="s">
        <v>143</v>
      </c>
      <c r="E165" s="2" t="s">
        <v>662</v>
      </c>
      <c r="F165" s="3">
        <v>-1.2</v>
      </c>
    </row>
    <row r="166" spans="1:6" ht="15" customHeight="1" x14ac:dyDescent="0.25">
      <c r="A166" s="2" t="s">
        <v>56</v>
      </c>
      <c r="B166" s="2" t="s">
        <v>661</v>
      </c>
      <c r="C166" s="2" t="s">
        <v>486</v>
      </c>
      <c r="D166" s="2" t="s">
        <v>129</v>
      </c>
      <c r="E166" s="2" t="s">
        <v>663</v>
      </c>
      <c r="F166" s="3">
        <v>-1.59</v>
      </c>
    </row>
    <row r="167" spans="1:6" ht="15" customHeight="1" x14ac:dyDescent="0.25">
      <c r="A167" s="2" t="s">
        <v>56</v>
      </c>
      <c r="B167" s="2" t="s">
        <v>661</v>
      </c>
      <c r="C167" s="2" t="s">
        <v>486</v>
      </c>
      <c r="D167" s="2" t="s">
        <v>132</v>
      </c>
      <c r="E167" s="2" t="s">
        <v>664</v>
      </c>
      <c r="F167" s="3">
        <v>-1.07</v>
      </c>
    </row>
    <row r="168" spans="1:6" ht="15" customHeight="1" x14ac:dyDescent="0.25">
      <c r="A168" s="2" t="s">
        <v>56</v>
      </c>
      <c r="B168" s="2" t="s">
        <v>661</v>
      </c>
      <c r="C168" s="2" t="s">
        <v>486</v>
      </c>
      <c r="D168" s="2" t="s">
        <v>140</v>
      </c>
      <c r="E168" s="2" t="s">
        <v>665</v>
      </c>
      <c r="F168" s="3">
        <v>-2.81</v>
      </c>
    </row>
    <row r="169" spans="1:6" ht="15" customHeight="1" x14ac:dyDescent="0.25">
      <c r="A169" s="2" t="s">
        <v>56</v>
      </c>
      <c r="B169" s="2" t="s">
        <v>661</v>
      </c>
      <c r="C169" s="2" t="s">
        <v>486</v>
      </c>
      <c r="D169" s="2" t="s">
        <v>152</v>
      </c>
      <c r="E169" s="2" t="s">
        <v>666</v>
      </c>
      <c r="F169" s="3">
        <v>-3.06</v>
      </c>
    </row>
    <row r="170" spans="1:6" ht="15" customHeight="1" x14ac:dyDescent="0.25">
      <c r="A170" s="2" t="s">
        <v>56</v>
      </c>
      <c r="B170" s="2" t="s">
        <v>661</v>
      </c>
      <c r="C170" s="2" t="s">
        <v>486</v>
      </c>
      <c r="D170" s="2" t="s">
        <v>145</v>
      </c>
      <c r="E170" s="2" t="s">
        <v>667</v>
      </c>
      <c r="F170" s="3">
        <v>-0.72</v>
      </c>
    </row>
    <row r="171" spans="1:6" ht="15" customHeight="1" x14ac:dyDescent="0.25">
      <c r="A171" s="2" t="s">
        <v>56</v>
      </c>
      <c r="B171" s="2" t="s">
        <v>661</v>
      </c>
      <c r="C171" s="2" t="s">
        <v>484</v>
      </c>
      <c r="D171" s="2" t="s">
        <v>143</v>
      </c>
      <c r="E171" s="2" t="s">
        <v>668</v>
      </c>
      <c r="F171" s="3">
        <v>8</v>
      </c>
    </row>
    <row r="172" spans="1:6" ht="15" customHeight="1" x14ac:dyDescent="0.25">
      <c r="A172" s="2" t="s">
        <v>56</v>
      </c>
      <c r="B172" s="2" t="s">
        <v>661</v>
      </c>
      <c r="C172" s="2" t="s">
        <v>484</v>
      </c>
      <c r="D172" s="2" t="s">
        <v>129</v>
      </c>
      <c r="E172" s="2" t="s">
        <v>669</v>
      </c>
      <c r="F172" s="3">
        <v>10.66</v>
      </c>
    </row>
    <row r="173" spans="1:6" ht="15" customHeight="1" x14ac:dyDescent="0.25">
      <c r="A173" s="2" t="s">
        <v>56</v>
      </c>
      <c r="B173" s="2" t="s">
        <v>661</v>
      </c>
      <c r="C173" s="2" t="s">
        <v>484</v>
      </c>
      <c r="D173" s="2" t="s">
        <v>132</v>
      </c>
      <c r="E173" s="2" t="s">
        <v>670</v>
      </c>
      <c r="F173" s="3">
        <v>7.15</v>
      </c>
    </row>
    <row r="174" spans="1:6" ht="15" customHeight="1" x14ac:dyDescent="0.25">
      <c r="A174" s="2" t="s">
        <v>56</v>
      </c>
      <c r="B174" s="2" t="s">
        <v>661</v>
      </c>
      <c r="C174" s="2" t="s">
        <v>484</v>
      </c>
      <c r="D174" s="2" t="s">
        <v>140</v>
      </c>
      <c r="E174" s="2" t="s">
        <v>671</v>
      </c>
      <c r="F174" s="3">
        <v>18.78</v>
      </c>
    </row>
    <row r="175" spans="1:6" ht="15" customHeight="1" x14ac:dyDescent="0.25">
      <c r="A175" s="2" t="s">
        <v>56</v>
      </c>
      <c r="B175" s="2" t="s">
        <v>661</v>
      </c>
      <c r="C175" s="2" t="s">
        <v>484</v>
      </c>
      <c r="D175" s="2" t="s">
        <v>152</v>
      </c>
      <c r="E175" s="2" t="s">
        <v>672</v>
      </c>
      <c r="F175" s="3">
        <v>20.399999999999999</v>
      </c>
    </row>
    <row r="176" spans="1:6" ht="15" customHeight="1" x14ac:dyDescent="0.25">
      <c r="A176" s="2" t="s">
        <v>56</v>
      </c>
      <c r="B176" s="2" t="s">
        <v>661</v>
      </c>
      <c r="C176" s="2" t="s">
        <v>484</v>
      </c>
      <c r="D176" s="2" t="s">
        <v>145</v>
      </c>
      <c r="E176" s="2" t="s">
        <v>673</v>
      </c>
      <c r="F176" s="3">
        <v>4.8099999999999996</v>
      </c>
    </row>
    <row r="177" spans="1:6" ht="15" customHeight="1" x14ac:dyDescent="0.25">
      <c r="A177" s="2" t="s">
        <v>56</v>
      </c>
      <c r="B177" s="2" t="s">
        <v>674</v>
      </c>
      <c r="C177" s="2" t="s">
        <v>486</v>
      </c>
      <c r="D177" s="2" t="s">
        <v>154</v>
      </c>
      <c r="E177" s="2" t="s">
        <v>675</v>
      </c>
      <c r="F177" s="3">
        <v>-0.1</v>
      </c>
    </row>
    <row r="178" spans="1:6" ht="15" customHeight="1" x14ac:dyDescent="0.25">
      <c r="A178" s="2" t="s">
        <v>56</v>
      </c>
      <c r="B178" s="2" t="s">
        <v>674</v>
      </c>
      <c r="C178" s="2" t="s">
        <v>484</v>
      </c>
      <c r="D178" s="2" t="s">
        <v>154</v>
      </c>
      <c r="E178" s="2" t="s">
        <v>676</v>
      </c>
      <c r="F178" s="3">
        <v>0.72</v>
      </c>
    </row>
    <row r="179" spans="1:6" ht="15" customHeight="1" x14ac:dyDescent="0.25">
      <c r="A179" s="2" t="s">
        <v>56</v>
      </c>
      <c r="B179" s="2" t="s">
        <v>677</v>
      </c>
      <c r="C179" s="2" t="s">
        <v>486</v>
      </c>
      <c r="D179" s="2" t="s">
        <v>134</v>
      </c>
      <c r="E179" s="2" t="s">
        <v>678</v>
      </c>
      <c r="F179" s="3">
        <v>-1.1000000000000001</v>
      </c>
    </row>
    <row r="180" spans="1:6" ht="15" customHeight="1" x14ac:dyDescent="0.25">
      <c r="A180" s="2" t="s">
        <v>56</v>
      </c>
      <c r="B180" s="2" t="s">
        <v>677</v>
      </c>
      <c r="C180" s="2" t="s">
        <v>486</v>
      </c>
      <c r="D180" s="2" t="s">
        <v>113</v>
      </c>
      <c r="E180" s="2" t="s">
        <v>573</v>
      </c>
      <c r="F180" s="3">
        <v>-0.03</v>
      </c>
    </row>
    <row r="181" spans="1:6" ht="15" customHeight="1" x14ac:dyDescent="0.25">
      <c r="A181" s="2" t="s">
        <v>56</v>
      </c>
      <c r="B181" s="2" t="s">
        <v>677</v>
      </c>
      <c r="C181" s="2" t="s">
        <v>486</v>
      </c>
      <c r="D181" s="2" t="s">
        <v>149</v>
      </c>
      <c r="E181" s="2" t="s">
        <v>679</v>
      </c>
      <c r="F181" s="3">
        <v>-0.06</v>
      </c>
    </row>
    <row r="182" spans="1:6" ht="15" customHeight="1" x14ac:dyDescent="0.25">
      <c r="A182" s="2" t="s">
        <v>56</v>
      </c>
      <c r="B182" s="2" t="s">
        <v>677</v>
      </c>
      <c r="C182" s="2" t="s">
        <v>486</v>
      </c>
      <c r="D182" s="2" t="s">
        <v>136</v>
      </c>
      <c r="E182" s="2" t="s">
        <v>680</v>
      </c>
      <c r="F182" s="3">
        <v>-0.48</v>
      </c>
    </row>
    <row r="183" spans="1:6" ht="15" customHeight="1" x14ac:dyDescent="0.25">
      <c r="A183" s="2" t="s">
        <v>56</v>
      </c>
      <c r="B183" s="2" t="s">
        <v>677</v>
      </c>
      <c r="C183" s="2" t="s">
        <v>484</v>
      </c>
      <c r="D183" s="2" t="s">
        <v>134</v>
      </c>
      <c r="E183" s="2" t="s">
        <v>681</v>
      </c>
      <c r="F183" s="3">
        <v>7.35</v>
      </c>
    </row>
    <row r="184" spans="1:6" ht="15" customHeight="1" x14ac:dyDescent="0.25">
      <c r="A184" s="2" t="s">
        <v>56</v>
      </c>
      <c r="B184" s="2" t="s">
        <v>677</v>
      </c>
      <c r="C184" s="2" t="s">
        <v>484</v>
      </c>
      <c r="D184" s="2" t="s">
        <v>113</v>
      </c>
      <c r="E184" s="2" t="s">
        <v>682</v>
      </c>
      <c r="F184" s="3">
        <v>0.25</v>
      </c>
    </row>
    <row r="185" spans="1:6" ht="15" customHeight="1" x14ac:dyDescent="0.25">
      <c r="A185" s="2" t="s">
        <v>56</v>
      </c>
      <c r="B185" s="2" t="s">
        <v>677</v>
      </c>
      <c r="C185" s="2" t="s">
        <v>484</v>
      </c>
      <c r="D185" s="2" t="s">
        <v>149</v>
      </c>
      <c r="E185" s="2" t="s">
        <v>683</v>
      </c>
      <c r="F185" s="3">
        <v>0.45</v>
      </c>
    </row>
    <row r="186" spans="1:6" ht="15" customHeight="1" x14ac:dyDescent="0.25">
      <c r="A186" s="2" t="s">
        <v>56</v>
      </c>
      <c r="B186" s="2" t="s">
        <v>677</v>
      </c>
      <c r="C186" s="2" t="s">
        <v>484</v>
      </c>
      <c r="D186" s="2" t="s">
        <v>136</v>
      </c>
      <c r="E186" s="2" t="s">
        <v>684</v>
      </c>
      <c r="F186" s="3">
        <v>3.21</v>
      </c>
    </row>
    <row r="187" spans="1:6" ht="15" customHeight="1" x14ac:dyDescent="0.25">
      <c r="A187" s="2" t="s">
        <v>56</v>
      </c>
      <c r="B187" s="2" t="s">
        <v>685</v>
      </c>
      <c r="C187" s="2" t="s">
        <v>475</v>
      </c>
      <c r="D187" s="2"/>
      <c r="E187" s="2" t="s">
        <v>686</v>
      </c>
      <c r="F187" s="3">
        <v>1538.93</v>
      </c>
    </row>
    <row r="188" spans="1:6" ht="15" customHeight="1" x14ac:dyDescent="0.25">
      <c r="A188" s="2" t="s">
        <v>56</v>
      </c>
      <c r="B188" s="2" t="s">
        <v>685</v>
      </c>
      <c r="C188" s="2" t="s">
        <v>486</v>
      </c>
      <c r="D188" s="2" t="s">
        <v>156</v>
      </c>
      <c r="E188" s="2" t="s">
        <v>687</v>
      </c>
      <c r="F188" s="3">
        <v>-0.65</v>
      </c>
    </row>
    <row r="189" spans="1:6" ht="15" customHeight="1" x14ac:dyDescent="0.25">
      <c r="A189" s="2" t="s">
        <v>56</v>
      </c>
      <c r="B189" s="2" t="s">
        <v>685</v>
      </c>
      <c r="C189" s="2" t="s">
        <v>484</v>
      </c>
      <c r="D189" s="2" t="s">
        <v>156</v>
      </c>
      <c r="E189" s="2" t="s">
        <v>688</v>
      </c>
      <c r="F189" s="3">
        <v>4.3499999999999996</v>
      </c>
    </row>
    <row r="190" spans="1:6" ht="15" customHeight="1" x14ac:dyDescent="0.25">
      <c r="A190" s="2" t="s">
        <v>56</v>
      </c>
      <c r="B190" s="2" t="s">
        <v>685</v>
      </c>
      <c r="C190" s="2" t="s">
        <v>486</v>
      </c>
      <c r="D190" s="2" t="s">
        <v>117</v>
      </c>
      <c r="E190" s="2" t="s">
        <v>639</v>
      </c>
      <c r="F190" s="3">
        <v>-0.47</v>
      </c>
    </row>
    <row r="191" spans="1:6" ht="15" customHeight="1" x14ac:dyDescent="0.25">
      <c r="A191" s="2" t="s">
        <v>56</v>
      </c>
      <c r="B191" s="2" t="s">
        <v>685</v>
      </c>
      <c r="C191" s="2" t="s">
        <v>484</v>
      </c>
      <c r="D191" s="2" t="s">
        <v>117</v>
      </c>
      <c r="E191" s="2" t="s">
        <v>689</v>
      </c>
      <c r="F191" s="3">
        <v>3.17</v>
      </c>
    </row>
    <row r="192" spans="1:6" ht="15" customHeight="1" x14ac:dyDescent="0.25">
      <c r="A192" s="2" t="s">
        <v>56</v>
      </c>
      <c r="B192" s="2" t="s">
        <v>685</v>
      </c>
      <c r="C192" s="2" t="s">
        <v>486</v>
      </c>
      <c r="D192" s="2" t="s">
        <v>121</v>
      </c>
      <c r="E192" s="2" t="s">
        <v>690</v>
      </c>
      <c r="F192" s="3">
        <v>-5.49</v>
      </c>
    </row>
    <row r="193" spans="1:6" ht="15" customHeight="1" x14ac:dyDescent="0.25">
      <c r="A193" s="2" t="s">
        <v>56</v>
      </c>
      <c r="B193" s="2" t="s">
        <v>685</v>
      </c>
      <c r="C193" s="2" t="s">
        <v>484</v>
      </c>
      <c r="D193" s="2" t="s">
        <v>121</v>
      </c>
      <c r="E193" s="2" t="s">
        <v>691</v>
      </c>
      <c r="F193" s="3">
        <v>36.65</v>
      </c>
    </row>
    <row r="194" spans="1:6" ht="15" customHeight="1" x14ac:dyDescent="0.25">
      <c r="A194" s="2" t="s">
        <v>56</v>
      </c>
      <c r="B194" s="2" t="s">
        <v>685</v>
      </c>
      <c r="C194" s="2" t="s">
        <v>486</v>
      </c>
      <c r="D194" s="2" t="s">
        <v>123</v>
      </c>
      <c r="E194" s="2" t="s">
        <v>692</v>
      </c>
      <c r="F194" s="3">
        <v>-0.34</v>
      </c>
    </row>
    <row r="195" spans="1:6" ht="15" customHeight="1" x14ac:dyDescent="0.25">
      <c r="A195" s="2" t="s">
        <v>56</v>
      </c>
      <c r="B195" s="2" t="s">
        <v>685</v>
      </c>
      <c r="C195" s="2" t="s">
        <v>486</v>
      </c>
      <c r="D195" s="2" t="s">
        <v>125</v>
      </c>
      <c r="E195" s="2" t="s">
        <v>551</v>
      </c>
      <c r="F195" s="3">
        <v>-0.68</v>
      </c>
    </row>
    <row r="196" spans="1:6" ht="15" customHeight="1" x14ac:dyDescent="0.25">
      <c r="A196" s="2" t="s">
        <v>56</v>
      </c>
      <c r="B196" s="2" t="s">
        <v>685</v>
      </c>
      <c r="C196" s="2" t="s">
        <v>484</v>
      </c>
      <c r="D196" s="2" t="s">
        <v>123</v>
      </c>
      <c r="E196" s="2" t="s">
        <v>693</v>
      </c>
      <c r="F196" s="3">
        <v>2.29</v>
      </c>
    </row>
    <row r="197" spans="1:6" ht="15" customHeight="1" x14ac:dyDescent="0.25">
      <c r="A197" s="2" t="s">
        <v>56</v>
      </c>
      <c r="B197" s="2" t="s">
        <v>685</v>
      </c>
      <c r="C197" s="2" t="s">
        <v>484</v>
      </c>
      <c r="D197" s="2" t="s">
        <v>125</v>
      </c>
      <c r="E197" s="2" t="s">
        <v>694</v>
      </c>
      <c r="F197" s="3">
        <v>4.55</v>
      </c>
    </row>
    <row r="198" spans="1:6" ht="15" customHeight="1" x14ac:dyDescent="0.25">
      <c r="A198" s="2" t="s">
        <v>58</v>
      </c>
      <c r="B198" s="2" t="s">
        <v>695</v>
      </c>
      <c r="C198" s="2" t="s">
        <v>486</v>
      </c>
      <c r="D198" s="2" t="s">
        <v>119</v>
      </c>
      <c r="E198" s="2" t="s">
        <v>696</v>
      </c>
      <c r="F198" s="3">
        <v>-2.1800000000000002</v>
      </c>
    </row>
    <row r="199" spans="1:6" ht="15" customHeight="1" x14ac:dyDescent="0.25">
      <c r="A199" s="2" t="s">
        <v>58</v>
      </c>
      <c r="B199" s="2" t="s">
        <v>695</v>
      </c>
      <c r="C199" s="2" t="s">
        <v>486</v>
      </c>
      <c r="D199" s="2" t="s">
        <v>115</v>
      </c>
      <c r="E199" s="2" t="s">
        <v>697</v>
      </c>
      <c r="F199" s="3">
        <v>-3.26</v>
      </c>
    </row>
    <row r="200" spans="1:6" ht="15" customHeight="1" x14ac:dyDescent="0.25">
      <c r="A200" s="2" t="s">
        <v>58</v>
      </c>
      <c r="B200" s="2" t="s">
        <v>695</v>
      </c>
      <c r="C200" s="2" t="s">
        <v>486</v>
      </c>
      <c r="D200" s="2" t="s">
        <v>127</v>
      </c>
      <c r="E200" s="2" t="s">
        <v>698</v>
      </c>
      <c r="F200" s="3">
        <v>-1.42</v>
      </c>
    </row>
    <row r="201" spans="1:6" ht="15" customHeight="1" x14ac:dyDescent="0.25">
      <c r="A201" s="2" t="s">
        <v>58</v>
      </c>
      <c r="B201" s="2" t="s">
        <v>695</v>
      </c>
      <c r="C201" s="2" t="s">
        <v>486</v>
      </c>
      <c r="D201" s="2" t="s">
        <v>132</v>
      </c>
      <c r="E201" s="2" t="s">
        <v>699</v>
      </c>
      <c r="F201" s="3">
        <v>-0.76</v>
      </c>
    </row>
    <row r="202" spans="1:6" ht="15" customHeight="1" x14ac:dyDescent="0.25">
      <c r="A202" s="2" t="s">
        <v>58</v>
      </c>
      <c r="B202" s="2" t="s">
        <v>695</v>
      </c>
      <c r="C202" s="2" t="s">
        <v>484</v>
      </c>
      <c r="D202" s="2" t="s">
        <v>127</v>
      </c>
      <c r="E202" s="2" t="s">
        <v>700</v>
      </c>
      <c r="F202" s="3">
        <v>9.52</v>
      </c>
    </row>
    <row r="203" spans="1:6" ht="15" customHeight="1" x14ac:dyDescent="0.25">
      <c r="A203" s="2" t="s">
        <v>58</v>
      </c>
      <c r="B203" s="2" t="s">
        <v>695</v>
      </c>
      <c r="C203" s="2" t="s">
        <v>484</v>
      </c>
      <c r="D203" s="2" t="s">
        <v>132</v>
      </c>
      <c r="E203" s="2" t="s">
        <v>701</v>
      </c>
      <c r="F203" s="3">
        <v>5.1100000000000003</v>
      </c>
    </row>
    <row r="204" spans="1:6" ht="15" customHeight="1" x14ac:dyDescent="0.25">
      <c r="A204" s="2" t="s">
        <v>58</v>
      </c>
      <c r="B204" s="2" t="s">
        <v>695</v>
      </c>
      <c r="C204" s="2" t="s">
        <v>484</v>
      </c>
      <c r="D204" s="2" t="s">
        <v>119</v>
      </c>
      <c r="E204" s="2" t="s">
        <v>702</v>
      </c>
      <c r="F204" s="3">
        <v>14.57</v>
      </c>
    </row>
    <row r="205" spans="1:6" ht="15" customHeight="1" x14ac:dyDescent="0.25">
      <c r="A205" s="2" t="s">
        <v>58</v>
      </c>
      <c r="B205" s="2" t="s">
        <v>695</v>
      </c>
      <c r="C205" s="2" t="s">
        <v>484</v>
      </c>
      <c r="D205" s="2" t="s">
        <v>115</v>
      </c>
      <c r="E205" s="2" t="s">
        <v>703</v>
      </c>
      <c r="F205" s="3">
        <v>21.74</v>
      </c>
    </row>
    <row r="206" spans="1:6" ht="15" customHeight="1" x14ac:dyDescent="0.25">
      <c r="A206" s="2" t="s">
        <v>58</v>
      </c>
      <c r="B206" s="2" t="s">
        <v>704</v>
      </c>
      <c r="C206" s="2" t="s">
        <v>486</v>
      </c>
      <c r="D206" s="2" t="s">
        <v>143</v>
      </c>
      <c r="E206" s="2" t="s">
        <v>705</v>
      </c>
      <c r="F206" s="3">
        <v>-1.17</v>
      </c>
    </row>
    <row r="207" spans="1:6" ht="15" customHeight="1" x14ac:dyDescent="0.25">
      <c r="A207" s="2" t="s">
        <v>58</v>
      </c>
      <c r="B207" s="2" t="s">
        <v>704</v>
      </c>
      <c r="C207" s="2" t="s">
        <v>486</v>
      </c>
      <c r="D207" s="2" t="s">
        <v>129</v>
      </c>
      <c r="E207" s="2" t="s">
        <v>706</v>
      </c>
      <c r="F207" s="3">
        <v>-1.47</v>
      </c>
    </row>
    <row r="208" spans="1:6" ht="15" customHeight="1" x14ac:dyDescent="0.25">
      <c r="A208" s="2" t="s">
        <v>58</v>
      </c>
      <c r="B208" s="2" t="s">
        <v>704</v>
      </c>
      <c r="C208" s="2" t="s">
        <v>484</v>
      </c>
      <c r="D208" s="2" t="s">
        <v>143</v>
      </c>
      <c r="E208" s="2" t="s">
        <v>707</v>
      </c>
      <c r="F208" s="3">
        <v>7.82</v>
      </c>
    </row>
    <row r="209" spans="1:6" ht="15" customHeight="1" x14ac:dyDescent="0.25">
      <c r="A209" s="2" t="s">
        <v>58</v>
      </c>
      <c r="B209" s="2" t="s">
        <v>704</v>
      </c>
      <c r="C209" s="2" t="s">
        <v>484</v>
      </c>
      <c r="D209" s="2" t="s">
        <v>129</v>
      </c>
      <c r="E209" s="2" t="s">
        <v>708</v>
      </c>
      <c r="F209" s="3">
        <v>9.86</v>
      </c>
    </row>
    <row r="210" spans="1:6" ht="15" customHeight="1" x14ac:dyDescent="0.25">
      <c r="A210" s="2" t="s">
        <v>58</v>
      </c>
      <c r="B210" s="2" t="s">
        <v>709</v>
      </c>
      <c r="C210" s="2" t="s">
        <v>486</v>
      </c>
      <c r="D210" s="2" t="s">
        <v>158</v>
      </c>
      <c r="E210" s="2" t="s">
        <v>710</v>
      </c>
      <c r="F210" s="3">
        <v>-1.24</v>
      </c>
    </row>
    <row r="211" spans="1:6" ht="15" customHeight="1" x14ac:dyDescent="0.25">
      <c r="A211" s="2" t="s">
        <v>58</v>
      </c>
      <c r="B211" s="2" t="s">
        <v>709</v>
      </c>
      <c r="C211" s="2" t="s">
        <v>486</v>
      </c>
      <c r="D211" s="2" t="s">
        <v>145</v>
      </c>
      <c r="E211" s="2" t="s">
        <v>711</v>
      </c>
      <c r="F211" s="3">
        <v>-2.48</v>
      </c>
    </row>
    <row r="212" spans="1:6" ht="15" customHeight="1" x14ac:dyDescent="0.25">
      <c r="A212" s="2" t="s">
        <v>58</v>
      </c>
      <c r="B212" s="2" t="s">
        <v>709</v>
      </c>
      <c r="C212" s="2" t="s">
        <v>484</v>
      </c>
      <c r="D212" s="2" t="s">
        <v>158</v>
      </c>
      <c r="E212" s="2" t="s">
        <v>712</v>
      </c>
      <c r="F212" s="3">
        <v>8.31</v>
      </c>
    </row>
    <row r="213" spans="1:6" ht="15" customHeight="1" x14ac:dyDescent="0.25">
      <c r="A213" s="2" t="s">
        <v>58</v>
      </c>
      <c r="B213" s="2" t="s">
        <v>709</v>
      </c>
      <c r="C213" s="2" t="s">
        <v>484</v>
      </c>
      <c r="D213" s="2" t="s">
        <v>145</v>
      </c>
      <c r="E213" s="2" t="s">
        <v>713</v>
      </c>
      <c r="F213" s="3">
        <v>16.54</v>
      </c>
    </row>
    <row r="214" spans="1:6" ht="15" customHeight="1" x14ac:dyDescent="0.25">
      <c r="A214" s="2" t="s">
        <v>58</v>
      </c>
      <c r="B214" s="2" t="s">
        <v>714</v>
      </c>
      <c r="C214" s="2" t="s">
        <v>486</v>
      </c>
      <c r="D214" s="2" t="s">
        <v>154</v>
      </c>
      <c r="E214" s="2" t="s">
        <v>675</v>
      </c>
      <c r="F214" s="3">
        <v>-0.1</v>
      </c>
    </row>
    <row r="215" spans="1:6" ht="15" customHeight="1" x14ac:dyDescent="0.25">
      <c r="A215" s="2" t="s">
        <v>58</v>
      </c>
      <c r="B215" s="2" t="s">
        <v>714</v>
      </c>
      <c r="C215" s="2" t="s">
        <v>484</v>
      </c>
      <c r="D215" s="2" t="s">
        <v>154</v>
      </c>
      <c r="E215" s="2" t="s">
        <v>715</v>
      </c>
      <c r="F215" s="3">
        <v>0.72</v>
      </c>
    </row>
    <row r="216" spans="1:6" ht="15" customHeight="1" x14ac:dyDescent="0.25">
      <c r="A216" s="2" t="s">
        <v>58</v>
      </c>
      <c r="B216" s="2" t="s">
        <v>716</v>
      </c>
      <c r="C216" s="2" t="s">
        <v>486</v>
      </c>
      <c r="D216" s="2" t="s">
        <v>140</v>
      </c>
      <c r="E216" s="2" t="s">
        <v>717</v>
      </c>
      <c r="F216" s="3">
        <v>-6.73</v>
      </c>
    </row>
    <row r="217" spans="1:6" ht="15" customHeight="1" x14ac:dyDescent="0.25">
      <c r="A217" s="2" t="s">
        <v>58</v>
      </c>
      <c r="B217" s="2" t="s">
        <v>716</v>
      </c>
      <c r="C217" s="2" t="s">
        <v>484</v>
      </c>
      <c r="D217" s="2" t="s">
        <v>140</v>
      </c>
      <c r="E217" s="2" t="s">
        <v>718</v>
      </c>
      <c r="F217" s="3">
        <v>44.93</v>
      </c>
    </row>
    <row r="218" spans="1:6" ht="15" customHeight="1" x14ac:dyDescent="0.25">
      <c r="A218" s="2" t="s">
        <v>58</v>
      </c>
      <c r="B218" s="2" t="s">
        <v>719</v>
      </c>
      <c r="C218" s="2" t="s">
        <v>486</v>
      </c>
      <c r="D218" s="2" t="s">
        <v>134</v>
      </c>
      <c r="E218" s="2" t="s">
        <v>710</v>
      </c>
      <c r="F218" s="3">
        <v>-1.24</v>
      </c>
    </row>
    <row r="219" spans="1:6" ht="15" customHeight="1" x14ac:dyDescent="0.25">
      <c r="A219" s="2" t="s">
        <v>58</v>
      </c>
      <c r="B219" s="2" t="s">
        <v>719</v>
      </c>
      <c r="C219" s="2" t="s">
        <v>486</v>
      </c>
      <c r="D219" s="2" t="s">
        <v>152</v>
      </c>
      <c r="E219" s="2" t="s">
        <v>720</v>
      </c>
      <c r="F219" s="3">
        <v>-13.85</v>
      </c>
    </row>
    <row r="220" spans="1:6" ht="15" customHeight="1" x14ac:dyDescent="0.25">
      <c r="A220" s="2" t="s">
        <v>58</v>
      </c>
      <c r="B220" s="2" t="s">
        <v>719</v>
      </c>
      <c r="C220" s="2" t="s">
        <v>486</v>
      </c>
      <c r="D220" s="2" t="s">
        <v>136</v>
      </c>
      <c r="E220" s="2" t="s">
        <v>721</v>
      </c>
      <c r="F220" s="3">
        <v>-0.55000000000000004</v>
      </c>
    </row>
    <row r="221" spans="1:6" ht="15" customHeight="1" x14ac:dyDescent="0.25">
      <c r="A221" s="2" t="s">
        <v>58</v>
      </c>
      <c r="B221" s="2" t="s">
        <v>719</v>
      </c>
      <c r="C221" s="2" t="s">
        <v>484</v>
      </c>
      <c r="D221" s="2" t="s">
        <v>134</v>
      </c>
      <c r="E221" s="2" t="s">
        <v>722</v>
      </c>
      <c r="F221" s="3">
        <v>8.31</v>
      </c>
    </row>
    <row r="222" spans="1:6" ht="15" customHeight="1" x14ac:dyDescent="0.25">
      <c r="A222" s="2" t="s">
        <v>58</v>
      </c>
      <c r="B222" s="2" t="s">
        <v>719</v>
      </c>
      <c r="C222" s="2" t="s">
        <v>484</v>
      </c>
      <c r="D222" s="2" t="s">
        <v>152</v>
      </c>
      <c r="E222" s="2" t="s">
        <v>723</v>
      </c>
      <c r="F222" s="3">
        <v>92.36</v>
      </c>
    </row>
    <row r="223" spans="1:6" ht="15" customHeight="1" x14ac:dyDescent="0.25">
      <c r="A223" s="2" t="s">
        <v>58</v>
      </c>
      <c r="B223" s="2" t="s">
        <v>719</v>
      </c>
      <c r="C223" s="2" t="s">
        <v>484</v>
      </c>
      <c r="D223" s="2" t="s">
        <v>136</v>
      </c>
      <c r="E223" s="2" t="s">
        <v>724</v>
      </c>
      <c r="F223" s="3">
        <v>3.69</v>
      </c>
    </row>
    <row r="224" spans="1:6" ht="15" customHeight="1" x14ac:dyDescent="0.25">
      <c r="A224" s="2" t="s">
        <v>58</v>
      </c>
      <c r="B224" s="2" t="s">
        <v>725</v>
      </c>
      <c r="C224" s="2" t="s">
        <v>486</v>
      </c>
      <c r="D224" s="2" t="s">
        <v>117</v>
      </c>
      <c r="E224" s="2" t="s">
        <v>680</v>
      </c>
      <c r="F224" s="3">
        <v>-0.48</v>
      </c>
    </row>
    <row r="225" spans="1:6" ht="15" customHeight="1" x14ac:dyDescent="0.25">
      <c r="A225" s="2" t="s">
        <v>58</v>
      </c>
      <c r="B225" s="2" t="s">
        <v>725</v>
      </c>
      <c r="C225" s="2" t="s">
        <v>486</v>
      </c>
      <c r="D225" s="2" t="s">
        <v>123</v>
      </c>
      <c r="E225" s="2" t="s">
        <v>726</v>
      </c>
      <c r="F225" s="3">
        <v>-0.35</v>
      </c>
    </row>
    <row r="226" spans="1:6" ht="15" customHeight="1" x14ac:dyDescent="0.25">
      <c r="A226" s="2" t="s">
        <v>58</v>
      </c>
      <c r="B226" s="2" t="s">
        <v>725</v>
      </c>
      <c r="C226" s="2" t="s">
        <v>484</v>
      </c>
      <c r="D226" s="2" t="s">
        <v>117</v>
      </c>
      <c r="E226" s="2" t="s">
        <v>727</v>
      </c>
      <c r="F226" s="3">
        <v>3.21</v>
      </c>
    </row>
    <row r="227" spans="1:6" ht="15" customHeight="1" x14ac:dyDescent="0.25">
      <c r="A227" s="2" t="s">
        <v>58</v>
      </c>
      <c r="B227" s="2" t="s">
        <v>725</v>
      </c>
      <c r="C227" s="2" t="s">
        <v>484</v>
      </c>
      <c r="D227" s="2" t="s">
        <v>123</v>
      </c>
      <c r="E227" s="2" t="s">
        <v>728</v>
      </c>
      <c r="F227" s="3">
        <v>2.35</v>
      </c>
    </row>
    <row r="228" spans="1:6" ht="15" customHeight="1" x14ac:dyDescent="0.25">
      <c r="A228" s="2" t="s">
        <v>58</v>
      </c>
      <c r="B228" s="2" t="s">
        <v>729</v>
      </c>
      <c r="C228" s="2" t="s">
        <v>484</v>
      </c>
      <c r="D228" s="2" t="s">
        <v>156</v>
      </c>
      <c r="E228" s="2" t="s">
        <v>730</v>
      </c>
      <c r="F228" s="3">
        <v>7.92</v>
      </c>
    </row>
    <row r="229" spans="1:6" ht="15" customHeight="1" x14ac:dyDescent="0.25">
      <c r="A229" s="2" t="s">
        <v>58</v>
      </c>
      <c r="B229" s="2" t="s">
        <v>729</v>
      </c>
      <c r="C229" s="2" t="s">
        <v>486</v>
      </c>
      <c r="D229" s="2" t="s">
        <v>121</v>
      </c>
      <c r="E229" s="2" t="s">
        <v>731</v>
      </c>
      <c r="F229" s="3">
        <v>-8.5</v>
      </c>
    </row>
    <row r="230" spans="1:6" ht="15" customHeight="1" x14ac:dyDescent="0.25">
      <c r="A230" s="2" t="s">
        <v>58</v>
      </c>
      <c r="B230" s="2" t="s">
        <v>729</v>
      </c>
      <c r="C230" s="2" t="s">
        <v>484</v>
      </c>
      <c r="D230" s="2" t="s">
        <v>125</v>
      </c>
      <c r="E230" s="2" t="s">
        <v>732</v>
      </c>
      <c r="F230" s="3">
        <v>4.55</v>
      </c>
    </row>
    <row r="231" spans="1:6" ht="15" customHeight="1" x14ac:dyDescent="0.25">
      <c r="A231" s="2" t="s">
        <v>58</v>
      </c>
      <c r="B231" s="2" t="s">
        <v>729</v>
      </c>
      <c r="C231" s="2" t="s">
        <v>484</v>
      </c>
      <c r="D231" s="2" t="s">
        <v>121</v>
      </c>
      <c r="E231" s="2" t="s">
        <v>733</v>
      </c>
      <c r="F231" s="3">
        <v>56.73</v>
      </c>
    </row>
    <row r="232" spans="1:6" ht="15" customHeight="1" x14ac:dyDescent="0.25">
      <c r="A232" s="2" t="s">
        <v>58</v>
      </c>
      <c r="B232" s="2" t="s">
        <v>729</v>
      </c>
      <c r="C232" s="2" t="s">
        <v>484</v>
      </c>
      <c r="D232" s="2" t="s">
        <v>160</v>
      </c>
      <c r="E232" s="2" t="s">
        <v>734</v>
      </c>
      <c r="F232" s="3">
        <v>1.81</v>
      </c>
    </row>
    <row r="233" spans="1:6" ht="15" customHeight="1" x14ac:dyDescent="0.25">
      <c r="A233" s="2" t="s">
        <v>58</v>
      </c>
      <c r="B233" s="2" t="s">
        <v>729</v>
      </c>
      <c r="C233" s="2" t="s">
        <v>486</v>
      </c>
      <c r="D233" s="2" t="s">
        <v>125</v>
      </c>
      <c r="E233" s="2" t="s">
        <v>551</v>
      </c>
      <c r="F233" s="3">
        <v>-0.68</v>
      </c>
    </row>
    <row r="234" spans="1:6" ht="15" customHeight="1" x14ac:dyDescent="0.25">
      <c r="A234" s="2" t="s">
        <v>58</v>
      </c>
      <c r="B234" s="2" t="s">
        <v>729</v>
      </c>
      <c r="C234" s="2" t="s">
        <v>486</v>
      </c>
      <c r="D234" s="2" t="s">
        <v>160</v>
      </c>
      <c r="E234" s="2" t="s">
        <v>735</v>
      </c>
      <c r="F234" s="3">
        <v>-0.27</v>
      </c>
    </row>
    <row r="235" spans="1:6" ht="15" customHeight="1" x14ac:dyDescent="0.25">
      <c r="A235" s="2" t="s">
        <v>58</v>
      </c>
      <c r="B235" s="2" t="s">
        <v>729</v>
      </c>
      <c r="C235" s="2" t="s">
        <v>486</v>
      </c>
      <c r="D235" s="2" t="s">
        <v>156</v>
      </c>
      <c r="E235" s="2" t="s">
        <v>736</v>
      </c>
      <c r="F235" s="3">
        <v>-1.18</v>
      </c>
    </row>
    <row r="236" spans="1:6" ht="15" customHeight="1" x14ac:dyDescent="0.25">
      <c r="A236" s="2" t="s">
        <v>60</v>
      </c>
      <c r="B236" s="2" t="s">
        <v>323</v>
      </c>
      <c r="C236" s="2" t="s">
        <v>486</v>
      </c>
      <c r="D236" s="2" t="s">
        <v>132</v>
      </c>
      <c r="E236" s="2" t="s">
        <v>737</v>
      </c>
      <c r="F236" s="3">
        <v>-1.64</v>
      </c>
    </row>
    <row r="237" spans="1:6" ht="15" customHeight="1" x14ac:dyDescent="0.25">
      <c r="A237" s="2" t="s">
        <v>60</v>
      </c>
      <c r="B237" s="2" t="s">
        <v>323</v>
      </c>
      <c r="C237" s="2" t="s">
        <v>484</v>
      </c>
      <c r="D237" s="2" t="s">
        <v>132</v>
      </c>
      <c r="E237" s="2" t="s">
        <v>738</v>
      </c>
      <c r="F237" s="3">
        <v>10.94</v>
      </c>
    </row>
    <row r="238" spans="1:6" ht="15" customHeight="1" x14ac:dyDescent="0.25">
      <c r="A238" s="2" t="s">
        <v>60</v>
      </c>
      <c r="B238" s="2" t="s">
        <v>739</v>
      </c>
      <c r="C238" s="2" t="s">
        <v>486</v>
      </c>
      <c r="D238" s="2" t="s">
        <v>127</v>
      </c>
      <c r="E238" s="2" t="s">
        <v>740</v>
      </c>
      <c r="F238" s="3">
        <v>-1.37</v>
      </c>
    </row>
    <row r="239" spans="1:6" ht="15" customHeight="1" x14ac:dyDescent="0.25">
      <c r="A239" s="2" t="s">
        <v>60</v>
      </c>
      <c r="B239" s="2" t="s">
        <v>739</v>
      </c>
      <c r="C239" s="2" t="s">
        <v>486</v>
      </c>
      <c r="D239" s="2" t="s">
        <v>115</v>
      </c>
      <c r="E239" s="2" t="s">
        <v>741</v>
      </c>
      <c r="F239" s="3">
        <v>-3.43</v>
      </c>
    </row>
    <row r="240" spans="1:6" ht="15" customHeight="1" x14ac:dyDescent="0.25">
      <c r="A240" s="2" t="s">
        <v>60</v>
      </c>
      <c r="B240" s="2" t="s">
        <v>739</v>
      </c>
      <c r="C240" s="2" t="s">
        <v>486</v>
      </c>
      <c r="D240" s="2" t="s">
        <v>119</v>
      </c>
      <c r="E240" s="2" t="s">
        <v>742</v>
      </c>
      <c r="F240" s="3">
        <v>-2.2799999999999998</v>
      </c>
    </row>
    <row r="241" spans="1:6" ht="15" customHeight="1" x14ac:dyDescent="0.25">
      <c r="A241" s="2" t="s">
        <v>60</v>
      </c>
      <c r="B241" s="2" t="s">
        <v>739</v>
      </c>
      <c r="C241" s="2" t="s">
        <v>484</v>
      </c>
      <c r="D241" s="2" t="s">
        <v>127</v>
      </c>
      <c r="E241" s="2" t="s">
        <v>743</v>
      </c>
      <c r="F241" s="3">
        <v>9.15</v>
      </c>
    </row>
    <row r="242" spans="1:6" ht="15" customHeight="1" x14ac:dyDescent="0.25">
      <c r="A242" s="2" t="s">
        <v>60</v>
      </c>
      <c r="B242" s="2" t="s">
        <v>739</v>
      </c>
      <c r="C242" s="2" t="s">
        <v>484</v>
      </c>
      <c r="D242" s="2" t="s">
        <v>115</v>
      </c>
      <c r="E242" s="2" t="s">
        <v>744</v>
      </c>
      <c r="F242" s="3">
        <v>22.92</v>
      </c>
    </row>
    <row r="243" spans="1:6" ht="15" customHeight="1" x14ac:dyDescent="0.25">
      <c r="A243" s="2" t="s">
        <v>60</v>
      </c>
      <c r="B243" s="2" t="s">
        <v>739</v>
      </c>
      <c r="C243" s="2" t="s">
        <v>484</v>
      </c>
      <c r="D243" s="2" t="s">
        <v>119</v>
      </c>
      <c r="E243" s="2" t="s">
        <v>745</v>
      </c>
      <c r="F243" s="3">
        <v>15.22</v>
      </c>
    </row>
    <row r="244" spans="1:6" ht="15" customHeight="1" x14ac:dyDescent="0.25">
      <c r="A244" s="2" t="s">
        <v>60</v>
      </c>
      <c r="B244" s="2" t="s">
        <v>746</v>
      </c>
      <c r="C244" s="2" t="s">
        <v>486</v>
      </c>
      <c r="D244" s="2" t="s">
        <v>143</v>
      </c>
      <c r="E244" s="2" t="s">
        <v>747</v>
      </c>
      <c r="F244" s="3">
        <v>-1.19</v>
      </c>
    </row>
    <row r="245" spans="1:6" ht="15" customHeight="1" x14ac:dyDescent="0.25">
      <c r="A245" s="2" t="s">
        <v>60</v>
      </c>
      <c r="B245" s="2" t="s">
        <v>746</v>
      </c>
      <c r="C245" s="2" t="s">
        <v>486</v>
      </c>
      <c r="D245" s="2" t="s">
        <v>129</v>
      </c>
      <c r="E245" s="2" t="s">
        <v>748</v>
      </c>
      <c r="F245" s="3">
        <v>-1.49</v>
      </c>
    </row>
    <row r="246" spans="1:6" ht="15" customHeight="1" x14ac:dyDescent="0.25">
      <c r="A246" s="2" t="s">
        <v>60</v>
      </c>
      <c r="B246" s="2" t="s">
        <v>746</v>
      </c>
      <c r="C246" s="2" t="s">
        <v>484</v>
      </c>
      <c r="D246" s="2" t="s">
        <v>143</v>
      </c>
      <c r="E246" s="2" t="s">
        <v>749</v>
      </c>
      <c r="F246" s="3">
        <v>7.96</v>
      </c>
    </row>
    <row r="247" spans="1:6" ht="15" customHeight="1" x14ac:dyDescent="0.25">
      <c r="A247" s="2" t="s">
        <v>60</v>
      </c>
      <c r="B247" s="2" t="s">
        <v>746</v>
      </c>
      <c r="C247" s="2" t="s">
        <v>484</v>
      </c>
      <c r="D247" s="2" t="s">
        <v>129</v>
      </c>
      <c r="E247" s="2" t="s">
        <v>750</v>
      </c>
      <c r="F247" s="3">
        <v>9.99</v>
      </c>
    </row>
    <row r="248" spans="1:6" ht="15" customHeight="1" x14ac:dyDescent="0.25">
      <c r="A248" s="2" t="s">
        <v>60</v>
      </c>
      <c r="B248" s="2" t="s">
        <v>751</v>
      </c>
      <c r="C248" s="2" t="s">
        <v>486</v>
      </c>
      <c r="D248" s="2" t="s">
        <v>158</v>
      </c>
      <c r="E248" s="2" t="s">
        <v>752</v>
      </c>
      <c r="F248" s="3">
        <v>-1.1200000000000001</v>
      </c>
    </row>
    <row r="249" spans="1:6" ht="15" customHeight="1" x14ac:dyDescent="0.25">
      <c r="A249" s="2" t="s">
        <v>60</v>
      </c>
      <c r="B249" s="2" t="s">
        <v>751</v>
      </c>
      <c r="C249" s="2" t="s">
        <v>486</v>
      </c>
      <c r="D249" s="2" t="s">
        <v>145</v>
      </c>
      <c r="E249" s="2" t="s">
        <v>753</v>
      </c>
      <c r="F249" s="3">
        <v>-3.19</v>
      </c>
    </row>
    <row r="250" spans="1:6" ht="15" customHeight="1" x14ac:dyDescent="0.25">
      <c r="A250" s="2" t="s">
        <v>60</v>
      </c>
      <c r="B250" s="2" t="s">
        <v>751</v>
      </c>
      <c r="C250" s="2" t="s">
        <v>484</v>
      </c>
      <c r="D250" s="2" t="s">
        <v>158</v>
      </c>
      <c r="E250" s="2" t="s">
        <v>754</v>
      </c>
      <c r="F250" s="3">
        <v>7.52</v>
      </c>
    </row>
    <row r="251" spans="1:6" ht="15" customHeight="1" x14ac:dyDescent="0.25">
      <c r="A251" s="2" t="s">
        <v>60</v>
      </c>
      <c r="B251" s="2" t="s">
        <v>751</v>
      </c>
      <c r="C251" s="2" t="s">
        <v>484</v>
      </c>
      <c r="D251" s="2" t="s">
        <v>145</v>
      </c>
      <c r="E251" s="2" t="s">
        <v>755</v>
      </c>
      <c r="F251" s="3">
        <v>21.27</v>
      </c>
    </row>
    <row r="252" spans="1:6" ht="15" customHeight="1" x14ac:dyDescent="0.25">
      <c r="A252" s="2" t="s">
        <v>60</v>
      </c>
      <c r="B252" s="2" t="s">
        <v>756</v>
      </c>
      <c r="C252" s="2" t="s">
        <v>486</v>
      </c>
      <c r="D252" s="2" t="s">
        <v>154</v>
      </c>
      <c r="E252" s="2" t="s">
        <v>675</v>
      </c>
      <c r="F252" s="3">
        <v>-0.1</v>
      </c>
    </row>
    <row r="253" spans="1:6" ht="15" customHeight="1" x14ac:dyDescent="0.25">
      <c r="A253" s="2" t="s">
        <v>60</v>
      </c>
      <c r="B253" s="2" t="s">
        <v>756</v>
      </c>
      <c r="C253" s="2" t="s">
        <v>484</v>
      </c>
      <c r="D253" s="2" t="s">
        <v>154</v>
      </c>
      <c r="E253" s="2" t="s">
        <v>757</v>
      </c>
      <c r="F253" s="3">
        <v>0.72</v>
      </c>
    </row>
    <row r="254" spans="1:6" ht="15" customHeight="1" x14ac:dyDescent="0.25">
      <c r="A254" s="2" t="s">
        <v>60</v>
      </c>
      <c r="B254" s="2" t="s">
        <v>756</v>
      </c>
      <c r="C254" s="2" t="s">
        <v>486</v>
      </c>
      <c r="D254" s="2" t="s">
        <v>140</v>
      </c>
      <c r="E254" s="2" t="s">
        <v>758</v>
      </c>
      <c r="F254" s="3">
        <v>-14.04</v>
      </c>
    </row>
    <row r="255" spans="1:6" ht="15" customHeight="1" x14ac:dyDescent="0.25">
      <c r="A255" s="2" t="s">
        <v>60</v>
      </c>
      <c r="B255" s="2" t="s">
        <v>756</v>
      </c>
      <c r="C255" s="2" t="s">
        <v>484</v>
      </c>
      <c r="D255" s="2" t="s">
        <v>140</v>
      </c>
      <c r="E255" s="2" t="s">
        <v>759</v>
      </c>
      <c r="F255" s="3">
        <v>93.63</v>
      </c>
    </row>
    <row r="256" spans="1:6" ht="15" customHeight="1" x14ac:dyDescent="0.25">
      <c r="A256" s="2" t="s">
        <v>60</v>
      </c>
      <c r="B256" s="2" t="s">
        <v>760</v>
      </c>
      <c r="C256" s="2" t="s">
        <v>486</v>
      </c>
      <c r="D256" s="2" t="s">
        <v>134</v>
      </c>
      <c r="E256" s="2" t="s">
        <v>761</v>
      </c>
      <c r="F256" s="3">
        <v>-1.0900000000000001</v>
      </c>
    </row>
    <row r="257" spans="1:6" ht="15" customHeight="1" x14ac:dyDescent="0.25">
      <c r="A257" s="2" t="s">
        <v>60</v>
      </c>
      <c r="B257" s="2" t="s">
        <v>760</v>
      </c>
      <c r="C257" s="2" t="s">
        <v>486</v>
      </c>
      <c r="D257" s="2" t="s">
        <v>152</v>
      </c>
      <c r="E257" s="2" t="s">
        <v>762</v>
      </c>
      <c r="F257" s="3">
        <v>-14.59</v>
      </c>
    </row>
    <row r="258" spans="1:6" ht="15" customHeight="1" x14ac:dyDescent="0.25">
      <c r="A258" s="2" t="s">
        <v>60</v>
      </c>
      <c r="B258" s="2" t="s">
        <v>760</v>
      </c>
      <c r="C258" s="2" t="s">
        <v>486</v>
      </c>
      <c r="D258" s="2" t="s">
        <v>136</v>
      </c>
      <c r="E258" s="2" t="s">
        <v>763</v>
      </c>
      <c r="F258" s="3">
        <v>-0.55000000000000004</v>
      </c>
    </row>
    <row r="259" spans="1:6" ht="15" customHeight="1" x14ac:dyDescent="0.25">
      <c r="A259" s="2" t="s">
        <v>60</v>
      </c>
      <c r="B259" s="2" t="s">
        <v>760</v>
      </c>
      <c r="C259" s="2" t="s">
        <v>484</v>
      </c>
      <c r="D259" s="2" t="s">
        <v>134</v>
      </c>
      <c r="E259" s="2" t="s">
        <v>764</v>
      </c>
      <c r="F259" s="3">
        <v>7.29</v>
      </c>
    </row>
    <row r="260" spans="1:6" ht="15" customHeight="1" x14ac:dyDescent="0.25">
      <c r="A260" s="2" t="s">
        <v>60</v>
      </c>
      <c r="B260" s="2" t="s">
        <v>760</v>
      </c>
      <c r="C260" s="2" t="s">
        <v>484</v>
      </c>
      <c r="D260" s="2" t="s">
        <v>152</v>
      </c>
      <c r="E260" s="2" t="s">
        <v>765</v>
      </c>
      <c r="F260" s="3">
        <v>97.27</v>
      </c>
    </row>
    <row r="261" spans="1:6" ht="15" customHeight="1" x14ac:dyDescent="0.25">
      <c r="A261" s="2" t="s">
        <v>60</v>
      </c>
      <c r="B261" s="2" t="s">
        <v>760</v>
      </c>
      <c r="C261" s="2" t="s">
        <v>484</v>
      </c>
      <c r="D261" s="2" t="s">
        <v>136</v>
      </c>
      <c r="E261" s="2" t="s">
        <v>766</v>
      </c>
      <c r="F261" s="3">
        <v>3.7</v>
      </c>
    </row>
    <row r="262" spans="1:6" ht="15" customHeight="1" x14ac:dyDescent="0.25">
      <c r="A262" s="2" t="s">
        <v>60</v>
      </c>
      <c r="B262" s="2" t="s">
        <v>324</v>
      </c>
      <c r="C262" s="2" t="s">
        <v>486</v>
      </c>
      <c r="D262" s="2" t="s">
        <v>117</v>
      </c>
      <c r="E262" s="2" t="s">
        <v>767</v>
      </c>
      <c r="F262" s="3">
        <v>-0.47</v>
      </c>
    </row>
    <row r="263" spans="1:6" ht="15" customHeight="1" x14ac:dyDescent="0.25">
      <c r="A263" s="2" t="s">
        <v>60</v>
      </c>
      <c r="B263" s="2" t="s">
        <v>324</v>
      </c>
      <c r="C263" s="2" t="s">
        <v>486</v>
      </c>
      <c r="D263" s="2" t="s">
        <v>123</v>
      </c>
      <c r="E263" s="2" t="s">
        <v>726</v>
      </c>
      <c r="F263" s="3">
        <v>-0.35</v>
      </c>
    </row>
    <row r="264" spans="1:6" ht="15" customHeight="1" x14ac:dyDescent="0.25">
      <c r="A264" s="2" t="s">
        <v>60</v>
      </c>
      <c r="B264" s="2" t="s">
        <v>324</v>
      </c>
      <c r="C264" s="2" t="s">
        <v>484</v>
      </c>
      <c r="D264" s="2" t="s">
        <v>117</v>
      </c>
      <c r="E264" s="2" t="s">
        <v>768</v>
      </c>
      <c r="F264" s="3">
        <v>3.16</v>
      </c>
    </row>
    <row r="265" spans="1:6" ht="15" customHeight="1" x14ac:dyDescent="0.25">
      <c r="A265" s="2" t="s">
        <v>60</v>
      </c>
      <c r="B265" s="2" t="s">
        <v>324</v>
      </c>
      <c r="C265" s="2" t="s">
        <v>484</v>
      </c>
      <c r="D265" s="2" t="s">
        <v>123</v>
      </c>
      <c r="E265" s="2" t="s">
        <v>769</v>
      </c>
      <c r="F265" s="3">
        <v>2.35</v>
      </c>
    </row>
    <row r="266" spans="1:6" ht="15" customHeight="1" x14ac:dyDescent="0.25">
      <c r="A266" s="2" t="s">
        <v>60</v>
      </c>
      <c r="B266" s="2" t="s">
        <v>325</v>
      </c>
      <c r="C266" s="2" t="s">
        <v>486</v>
      </c>
      <c r="D266" s="2" t="s">
        <v>138</v>
      </c>
      <c r="E266" s="2" t="s">
        <v>647</v>
      </c>
      <c r="F266" s="3">
        <v>-0.28999999999999998</v>
      </c>
    </row>
    <row r="267" spans="1:6" ht="15" customHeight="1" x14ac:dyDescent="0.25">
      <c r="A267" s="2" t="s">
        <v>60</v>
      </c>
      <c r="B267" s="2" t="s">
        <v>325</v>
      </c>
      <c r="C267" s="2" t="s">
        <v>484</v>
      </c>
      <c r="D267" s="2" t="s">
        <v>138</v>
      </c>
      <c r="E267" s="2" t="s">
        <v>770</v>
      </c>
      <c r="F267" s="3">
        <v>1.95</v>
      </c>
    </row>
    <row r="268" spans="1:6" ht="15" customHeight="1" x14ac:dyDescent="0.25">
      <c r="A268" s="2" t="s">
        <v>60</v>
      </c>
      <c r="B268" s="2" t="s">
        <v>771</v>
      </c>
      <c r="C268" s="2" t="s">
        <v>484</v>
      </c>
      <c r="D268" s="2" t="s">
        <v>125</v>
      </c>
      <c r="E268" s="2" t="s">
        <v>772</v>
      </c>
      <c r="F268" s="3">
        <v>4.55</v>
      </c>
    </row>
    <row r="269" spans="1:6" ht="15" customHeight="1" x14ac:dyDescent="0.25">
      <c r="A269" s="2" t="s">
        <v>60</v>
      </c>
      <c r="B269" s="2" t="s">
        <v>771</v>
      </c>
      <c r="C269" s="2" t="s">
        <v>486</v>
      </c>
      <c r="D269" s="2" t="s">
        <v>160</v>
      </c>
      <c r="E269" s="2" t="s">
        <v>773</v>
      </c>
      <c r="F269" s="3">
        <v>-0.36</v>
      </c>
    </row>
    <row r="270" spans="1:6" ht="15" customHeight="1" x14ac:dyDescent="0.25">
      <c r="A270" s="2" t="s">
        <v>60</v>
      </c>
      <c r="B270" s="2" t="s">
        <v>771</v>
      </c>
      <c r="C270" s="2" t="s">
        <v>486</v>
      </c>
      <c r="D270" s="2" t="s">
        <v>121</v>
      </c>
      <c r="E270" s="2" t="s">
        <v>774</v>
      </c>
      <c r="F270" s="3">
        <v>-7.73</v>
      </c>
    </row>
    <row r="271" spans="1:6" ht="15" customHeight="1" x14ac:dyDescent="0.25">
      <c r="A271" s="2" t="s">
        <v>60</v>
      </c>
      <c r="B271" s="2" t="s">
        <v>771</v>
      </c>
      <c r="C271" s="2" t="s">
        <v>486</v>
      </c>
      <c r="D271" s="2" t="s">
        <v>125</v>
      </c>
      <c r="E271" s="2" t="s">
        <v>551</v>
      </c>
      <c r="F271" s="3">
        <v>-0.68</v>
      </c>
    </row>
    <row r="272" spans="1:6" ht="15" customHeight="1" x14ac:dyDescent="0.25">
      <c r="A272" s="2" t="s">
        <v>60</v>
      </c>
      <c r="B272" s="2" t="s">
        <v>771</v>
      </c>
      <c r="C272" s="2" t="s">
        <v>486</v>
      </c>
      <c r="D272" s="2" t="s">
        <v>156</v>
      </c>
      <c r="E272" s="2" t="s">
        <v>775</v>
      </c>
      <c r="F272" s="3">
        <v>-1.1399999999999999</v>
      </c>
    </row>
    <row r="273" spans="1:6" ht="15" customHeight="1" x14ac:dyDescent="0.25">
      <c r="A273" s="2" t="s">
        <v>60</v>
      </c>
      <c r="B273" s="2" t="s">
        <v>771</v>
      </c>
      <c r="C273" s="2" t="s">
        <v>484</v>
      </c>
      <c r="D273" s="2" t="s">
        <v>160</v>
      </c>
      <c r="E273" s="2" t="s">
        <v>776</v>
      </c>
      <c r="F273" s="3">
        <v>2.4</v>
      </c>
    </row>
    <row r="274" spans="1:6" ht="15" customHeight="1" x14ac:dyDescent="0.25">
      <c r="A274" s="2" t="s">
        <v>60</v>
      </c>
      <c r="B274" s="2" t="s">
        <v>771</v>
      </c>
      <c r="C274" s="2" t="s">
        <v>484</v>
      </c>
      <c r="D274" s="2" t="s">
        <v>121</v>
      </c>
      <c r="E274" s="2" t="s">
        <v>777</v>
      </c>
      <c r="F274" s="3">
        <v>51.54</v>
      </c>
    </row>
    <row r="275" spans="1:6" ht="15" customHeight="1" x14ac:dyDescent="0.25">
      <c r="A275" s="2" t="s">
        <v>60</v>
      </c>
      <c r="B275" s="2" t="s">
        <v>771</v>
      </c>
      <c r="C275" s="2" t="s">
        <v>484</v>
      </c>
      <c r="D275" s="2" t="s">
        <v>156</v>
      </c>
      <c r="E275" s="2" t="s">
        <v>778</v>
      </c>
      <c r="F275" s="3">
        <v>7.63</v>
      </c>
    </row>
    <row r="276" spans="1:6" ht="15" customHeight="1" x14ac:dyDescent="0.25">
      <c r="A276" s="2" t="s">
        <v>62</v>
      </c>
      <c r="B276" s="2" t="s">
        <v>302</v>
      </c>
      <c r="C276" s="2" t="s">
        <v>484</v>
      </c>
      <c r="D276" s="2" t="s">
        <v>115</v>
      </c>
      <c r="E276" s="2" t="s">
        <v>502</v>
      </c>
      <c r="F276" s="3">
        <v>0.31</v>
      </c>
    </row>
    <row r="277" spans="1:6" ht="15" customHeight="1" x14ac:dyDescent="0.25">
      <c r="A277" s="2" t="s">
        <v>62</v>
      </c>
      <c r="B277" s="2" t="s">
        <v>302</v>
      </c>
      <c r="C277" s="2" t="s">
        <v>779</v>
      </c>
      <c r="D277" s="2" t="s">
        <v>115</v>
      </c>
      <c r="E277" s="2" t="s">
        <v>780</v>
      </c>
      <c r="F277" s="3">
        <v>0.26</v>
      </c>
    </row>
    <row r="278" spans="1:6" ht="15" customHeight="1" x14ac:dyDescent="0.25">
      <c r="A278" s="2" t="s">
        <v>62</v>
      </c>
      <c r="B278" s="2" t="s">
        <v>302</v>
      </c>
      <c r="C278" s="2" t="s">
        <v>486</v>
      </c>
      <c r="D278" s="2" t="s">
        <v>115</v>
      </c>
      <c r="E278" s="2" t="s">
        <v>503</v>
      </c>
      <c r="F278" s="3">
        <v>0.08</v>
      </c>
    </row>
    <row r="279" spans="1:6" ht="15" customHeight="1" x14ac:dyDescent="0.25">
      <c r="A279" s="2" t="s">
        <v>62</v>
      </c>
      <c r="B279" s="2" t="s">
        <v>302</v>
      </c>
      <c r="C279" s="2" t="s">
        <v>484</v>
      </c>
      <c r="D279" s="2" t="s">
        <v>115</v>
      </c>
      <c r="E279" s="2" t="s">
        <v>502</v>
      </c>
      <c r="F279" s="3">
        <v>-0.56999999999999995</v>
      </c>
    </row>
    <row r="280" spans="1:6" ht="15" customHeight="1" x14ac:dyDescent="0.25">
      <c r="A280" s="2" t="s">
        <v>62</v>
      </c>
      <c r="B280" s="2" t="s">
        <v>517</v>
      </c>
      <c r="C280" s="2" t="s">
        <v>486</v>
      </c>
      <c r="D280" s="2" t="s">
        <v>115</v>
      </c>
      <c r="E280" s="2" t="s">
        <v>781</v>
      </c>
      <c r="F280" s="3">
        <v>-0.11</v>
      </c>
    </row>
    <row r="281" spans="1:6" ht="15" customHeight="1" x14ac:dyDescent="0.25">
      <c r="A281" s="2" t="s">
        <v>62</v>
      </c>
      <c r="B281" s="2" t="s">
        <v>517</v>
      </c>
      <c r="C281" s="2" t="s">
        <v>484</v>
      </c>
      <c r="D281" s="2" t="s">
        <v>119</v>
      </c>
      <c r="E281" s="2" t="s">
        <v>521</v>
      </c>
      <c r="F281" s="3">
        <v>-0.31</v>
      </c>
    </row>
    <row r="282" spans="1:6" ht="15" customHeight="1" x14ac:dyDescent="0.25">
      <c r="A282" s="2" t="s">
        <v>62</v>
      </c>
      <c r="B282" s="2" t="s">
        <v>517</v>
      </c>
      <c r="C282" s="2" t="s">
        <v>486</v>
      </c>
      <c r="D282" s="2" t="s">
        <v>115</v>
      </c>
      <c r="E282" s="2" t="s">
        <v>519</v>
      </c>
      <c r="F282" s="3">
        <v>0.22</v>
      </c>
    </row>
    <row r="283" spans="1:6" ht="15" customHeight="1" x14ac:dyDescent="0.25">
      <c r="A283" s="2" t="s">
        <v>62</v>
      </c>
      <c r="B283" s="2" t="s">
        <v>517</v>
      </c>
      <c r="C283" s="2" t="s">
        <v>486</v>
      </c>
      <c r="D283" s="2" t="s">
        <v>119</v>
      </c>
      <c r="E283" s="2" t="s">
        <v>518</v>
      </c>
      <c r="F283" s="3">
        <v>0.04</v>
      </c>
    </row>
    <row r="284" spans="1:6" ht="15" customHeight="1" x14ac:dyDescent="0.25">
      <c r="A284" s="2" t="s">
        <v>62</v>
      </c>
      <c r="B284" s="2" t="s">
        <v>517</v>
      </c>
      <c r="C284" s="2" t="s">
        <v>484</v>
      </c>
      <c r="D284" s="2" t="s">
        <v>115</v>
      </c>
      <c r="E284" s="2" t="s">
        <v>520</v>
      </c>
      <c r="F284" s="3">
        <v>-1.48</v>
      </c>
    </row>
    <row r="285" spans="1:6" ht="15" customHeight="1" x14ac:dyDescent="0.25">
      <c r="A285" s="2" t="s">
        <v>62</v>
      </c>
      <c r="B285" s="2" t="s">
        <v>517</v>
      </c>
      <c r="C285" s="2" t="s">
        <v>484</v>
      </c>
      <c r="D285" s="2" t="s">
        <v>119</v>
      </c>
      <c r="E285" s="2" t="s">
        <v>521</v>
      </c>
      <c r="F285" s="3">
        <v>0.17</v>
      </c>
    </row>
    <row r="286" spans="1:6" ht="15" customHeight="1" x14ac:dyDescent="0.25">
      <c r="A286" s="2" t="s">
        <v>62</v>
      </c>
      <c r="B286" s="2" t="s">
        <v>517</v>
      </c>
      <c r="C286" s="2" t="s">
        <v>484</v>
      </c>
      <c r="D286" s="2" t="s">
        <v>115</v>
      </c>
      <c r="E286" s="2" t="s">
        <v>520</v>
      </c>
      <c r="F286" s="3">
        <v>0.76</v>
      </c>
    </row>
    <row r="287" spans="1:6" ht="15" customHeight="1" x14ac:dyDescent="0.25">
      <c r="A287" s="2" t="s">
        <v>62</v>
      </c>
      <c r="B287" s="2" t="s">
        <v>517</v>
      </c>
      <c r="C287" s="2" t="s">
        <v>486</v>
      </c>
      <c r="D287" s="2" t="s">
        <v>119</v>
      </c>
      <c r="E287" s="2" t="s">
        <v>782</v>
      </c>
      <c r="F287" s="3">
        <v>-0.02</v>
      </c>
    </row>
    <row r="288" spans="1:6" ht="15" customHeight="1" x14ac:dyDescent="0.25">
      <c r="A288" s="2" t="s">
        <v>62</v>
      </c>
      <c r="B288" s="2" t="s">
        <v>517</v>
      </c>
      <c r="C288" s="2" t="s">
        <v>779</v>
      </c>
      <c r="D288" s="2" t="s">
        <v>115</v>
      </c>
      <c r="E288" s="2" t="s">
        <v>780</v>
      </c>
      <c r="F288" s="3">
        <v>0.72</v>
      </c>
    </row>
    <row r="289" spans="1:6" ht="15" customHeight="1" x14ac:dyDescent="0.25">
      <c r="A289" s="2" t="s">
        <v>62</v>
      </c>
      <c r="B289" s="2" t="s">
        <v>517</v>
      </c>
      <c r="C289" s="2" t="s">
        <v>779</v>
      </c>
      <c r="D289" s="2" t="s">
        <v>119</v>
      </c>
      <c r="E289" s="2" t="s">
        <v>780</v>
      </c>
      <c r="F289" s="3">
        <v>0.14000000000000001</v>
      </c>
    </row>
    <row r="290" spans="1:6" ht="15" customHeight="1" x14ac:dyDescent="0.25">
      <c r="A290" s="2" t="s">
        <v>62</v>
      </c>
      <c r="B290" s="2" t="s">
        <v>535</v>
      </c>
      <c r="C290" s="2" t="s">
        <v>486</v>
      </c>
      <c r="D290" s="2" t="s">
        <v>119</v>
      </c>
      <c r="E290" s="2" t="s">
        <v>782</v>
      </c>
      <c r="F290" s="3">
        <v>-0.02</v>
      </c>
    </row>
    <row r="291" spans="1:6" ht="15" customHeight="1" x14ac:dyDescent="0.25">
      <c r="A291" s="2" t="s">
        <v>62</v>
      </c>
      <c r="B291" s="2" t="s">
        <v>535</v>
      </c>
      <c r="C291" s="2" t="s">
        <v>486</v>
      </c>
      <c r="D291" s="2" t="s">
        <v>119</v>
      </c>
      <c r="E291" s="2" t="s">
        <v>537</v>
      </c>
      <c r="F291" s="3">
        <v>0.04</v>
      </c>
    </row>
    <row r="292" spans="1:6" ht="15" customHeight="1" x14ac:dyDescent="0.25">
      <c r="A292" s="2" t="s">
        <v>62</v>
      </c>
      <c r="B292" s="2" t="s">
        <v>535</v>
      </c>
      <c r="C292" s="2" t="s">
        <v>484</v>
      </c>
      <c r="D292" s="2" t="s">
        <v>119</v>
      </c>
      <c r="E292" s="2" t="s">
        <v>539</v>
      </c>
      <c r="F292" s="3">
        <v>-0.3</v>
      </c>
    </row>
    <row r="293" spans="1:6" ht="15" customHeight="1" x14ac:dyDescent="0.25">
      <c r="A293" s="2" t="s">
        <v>62</v>
      </c>
      <c r="B293" s="2" t="s">
        <v>535</v>
      </c>
      <c r="C293" s="2" t="s">
        <v>484</v>
      </c>
      <c r="D293" s="2" t="s">
        <v>115</v>
      </c>
      <c r="E293" s="2" t="s">
        <v>538</v>
      </c>
      <c r="F293" s="3">
        <v>-9.4700000000000006</v>
      </c>
    </row>
    <row r="294" spans="1:6" ht="15" customHeight="1" x14ac:dyDescent="0.25">
      <c r="A294" s="2" t="s">
        <v>62</v>
      </c>
      <c r="B294" s="2" t="s">
        <v>535</v>
      </c>
      <c r="C294" s="2" t="s">
        <v>486</v>
      </c>
      <c r="D294" s="2" t="s">
        <v>115</v>
      </c>
      <c r="E294" s="2" t="s">
        <v>536</v>
      </c>
      <c r="F294" s="3">
        <v>1.42</v>
      </c>
    </row>
    <row r="295" spans="1:6" ht="15" customHeight="1" x14ac:dyDescent="0.25">
      <c r="A295" s="2" t="s">
        <v>62</v>
      </c>
      <c r="B295" s="2" t="s">
        <v>535</v>
      </c>
      <c r="C295" s="2" t="s">
        <v>484</v>
      </c>
      <c r="D295" s="2" t="s">
        <v>119</v>
      </c>
      <c r="E295" s="2" t="s">
        <v>539</v>
      </c>
      <c r="F295" s="3">
        <v>0.17</v>
      </c>
    </row>
    <row r="296" spans="1:6" ht="15" customHeight="1" x14ac:dyDescent="0.25">
      <c r="A296" s="2" t="s">
        <v>62</v>
      </c>
      <c r="B296" s="2" t="s">
        <v>535</v>
      </c>
      <c r="C296" s="2" t="s">
        <v>779</v>
      </c>
      <c r="D296" s="2" t="s">
        <v>119</v>
      </c>
      <c r="E296" s="2" t="s">
        <v>780</v>
      </c>
      <c r="F296" s="3">
        <v>0.13</v>
      </c>
    </row>
    <row r="297" spans="1:6" ht="15" customHeight="1" x14ac:dyDescent="0.25">
      <c r="A297" s="2" t="s">
        <v>62</v>
      </c>
      <c r="B297" s="2" t="s">
        <v>535</v>
      </c>
      <c r="C297" s="2" t="s">
        <v>779</v>
      </c>
      <c r="D297" s="2" t="s">
        <v>115</v>
      </c>
      <c r="E297" s="2" t="s">
        <v>780</v>
      </c>
      <c r="F297" s="3">
        <v>4.4000000000000004</v>
      </c>
    </row>
    <row r="298" spans="1:6" ht="15" customHeight="1" x14ac:dyDescent="0.25">
      <c r="A298" s="2" t="s">
        <v>62</v>
      </c>
      <c r="B298" s="2" t="s">
        <v>535</v>
      </c>
      <c r="C298" s="2" t="s">
        <v>486</v>
      </c>
      <c r="D298" s="2" t="s">
        <v>115</v>
      </c>
      <c r="E298" s="2" t="s">
        <v>783</v>
      </c>
      <c r="F298" s="3">
        <v>-0.76</v>
      </c>
    </row>
    <row r="299" spans="1:6" ht="15" customHeight="1" x14ac:dyDescent="0.25">
      <c r="A299" s="2" t="s">
        <v>62</v>
      </c>
      <c r="B299" s="2" t="s">
        <v>535</v>
      </c>
      <c r="C299" s="2" t="s">
        <v>484</v>
      </c>
      <c r="D299" s="2" t="s">
        <v>115</v>
      </c>
      <c r="E299" s="2" t="s">
        <v>538</v>
      </c>
      <c r="F299" s="3">
        <v>5.07</v>
      </c>
    </row>
    <row r="300" spans="1:6" ht="15" customHeight="1" x14ac:dyDescent="0.25">
      <c r="A300" s="2" t="s">
        <v>62</v>
      </c>
      <c r="B300" s="2" t="s">
        <v>559</v>
      </c>
      <c r="C300" s="2" t="s">
        <v>486</v>
      </c>
      <c r="D300" s="2" t="s">
        <v>115</v>
      </c>
      <c r="E300" s="2" t="s">
        <v>784</v>
      </c>
      <c r="F300" s="3">
        <v>-1.1000000000000001</v>
      </c>
    </row>
    <row r="301" spans="1:6" ht="15" customHeight="1" x14ac:dyDescent="0.25">
      <c r="A301" s="2" t="s">
        <v>62</v>
      </c>
      <c r="B301" s="2" t="s">
        <v>559</v>
      </c>
      <c r="C301" s="2" t="s">
        <v>486</v>
      </c>
      <c r="D301" s="2" t="s">
        <v>119</v>
      </c>
      <c r="E301" s="2" t="s">
        <v>785</v>
      </c>
      <c r="F301" s="3">
        <v>-0.44</v>
      </c>
    </row>
    <row r="302" spans="1:6" ht="15" customHeight="1" x14ac:dyDescent="0.25">
      <c r="A302" s="2" t="s">
        <v>62</v>
      </c>
      <c r="B302" s="2" t="s">
        <v>559</v>
      </c>
      <c r="C302" s="2" t="s">
        <v>779</v>
      </c>
      <c r="D302" s="2" t="s">
        <v>119</v>
      </c>
      <c r="E302" s="2" t="s">
        <v>780</v>
      </c>
      <c r="F302" s="3">
        <v>2.3199999999999998</v>
      </c>
    </row>
    <row r="303" spans="1:6" ht="15" customHeight="1" x14ac:dyDescent="0.25">
      <c r="A303" s="2" t="s">
        <v>62</v>
      </c>
      <c r="B303" s="2" t="s">
        <v>559</v>
      </c>
      <c r="C303" s="2" t="s">
        <v>484</v>
      </c>
      <c r="D303" s="2" t="s">
        <v>115</v>
      </c>
      <c r="E303" s="2" t="s">
        <v>563</v>
      </c>
      <c r="F303" s="3">
        <v>7.37</v>
      </c>
    </row>
    <row r="304" spans="1:6" ht="15" customHeight="1" x14ac:dyDescent="0.25">
      <c r="A304" s="2" t="s">
        <v>62</v>
      </c>
      <c r="B304" s="2" t="s">
        <v>559</v>
      </c>
      <c r="C304" s="2" t="s">
        <v>779</v>
      </c>
      <c r="D304" s="2" t="s">
        <v>115</v>
      </c>
      <c r="E304" s="2" t="s">
        <v>780</v>
      </c>
      <c r="F304" s="3">
        <v>6.61</v>
      </c>
    </row>
    <row r="305" spans="1:6" ht="15" customHeight="1" x14ac:dyDescent="0.25">
      <c r="A305" s="2" t="s">
        <v>62</v>
      </c>
      <c r="B305" s="2" t="s">
        <v>559</v>
      </c>
      <c r="C305" s="2" t="s">
        <v>486</v>
      </c>
      <c r="D305" s="2" t="s">
        <v>115</v>
      </c>
      <c r="E305" s="2" t="s">
        <v>560</v>
      </c>
      <c r="F305" s="3">
        <v>2.09</v>
      </c>
    </row>
    <row r="306" spans="1:6" ht="15" customHeight="1" x14ac:dyDescent="0.25">
      <c r="A306" s="2" t="s">
        <v>62</v>
      </c>
      <c r="B306" s="2" t="s">
        <v>559</v>
      </c>
      <c r="C306" s="2" t="s">
        <v>484</v>
      </c>
      <c r="D306" s="2" t="s">
        <v>115</v>
      </c>
      <c r="E306" s="2" t="s">
        <v>563</v>
      </c>
      <c r="F306" s="3">
        <v>-13.98</v>
      </c>
    </row>
    <row r="307" spans="1:6" ht="15" customHeight="1" x14ac:dyDescent="0.25">
      <c r="A307" s="2" t="s">
        <v>62</v>
      </c>
      <c r="B307" s="2" t="s">
        <v>559</v>
      </c>
      <c r="C307" s="2" t="s">
        <v>484</v>
      </c>
      <c r="D307" s="2" t="s">
        <v>119</v>
      </c>
      <c r="E307" s="2" t="s">
        <v>562</v>
      </c>
      <c r="F307" s="3">
        <v>-5.26</v>
      </c>
    </row>
    <row r="308" spans="1:6" ht="15" customHeight="1" x14ac:dyDescent="0.25">
      <c r="A308" s="2" t="s">
        <v>62</v>
      </c>
      <c r="B308" s="2" t="s">
        <v>559</v>
      </c>
      <c r="C308" s="2" t="s">
        <v>486</v>
      </c>
      <c r="D308" s="2" t="s">
        <v>119</v>
      </c>
      <c r="E308" s="2" t="s">
        <v>564</v>
      </c>
      <c r="F308" s="3">
        <v>0.78</v>
      </c>
    </row>
    <row r="309" spans="1:6" ht="15" customHeight="1" x14ac:dyDescent="0.25">
      <c r="A309" s="2" t="s">
        <v>62</v>
      </c>
      <c r="B309" s="2" t="s">
        <v>559</v>
      </c>
      <c r="C309" s="2" t="s">
        <v>484</v>
      </c>
      <c r="D309" s="2" t="s">
        <v>119</v>
      </c>
      <c r="E309" s="2" t="s">
        <v>562</v>
      </c>
      <c r="F309" s="3">
        <v>2.94</v>
      </c>
    </row>
    <row r="310" spans="1:6" ht="15" customHeight="1" x14ac:dyDescent="0.25">
      <c r="A310" s="2" t="s">
        <v>62</v>
      </c>
      <c r="B310" s="2" t="s">
        <v>583</v>
      </c>
      <c r="C310" s="2" t="s">
        <v>486</v>
      </c>
      <c r="D310" s="2" t="s">
        <v>119</v>
      </c>
      <c r="E310" s="2" t="s">
        <v>786</v>
      </c>
      <c r="F310" s="3">
        <v>-0.6</v>
      </c>
    </row>
    <row r="311" spans="1:6" ht="15" customHeight="1" x14ac:dyDescent="0.25">
      <c r="A311" s="2" t="s">
        <v>62</v>
      </c>
      <c r="B311" s="2" t="s">
        <v>583</v>
      </c>
      <c r="C311" s="2" t="s">
        <v>486</v>
      </c>
      <c r="D311" s="2" t="s">
        <v>115</v>
      </c>
      <c r="E311" s="2" t="s">
        <v>787</v>
      </c>
      <c r="F311" s="3">
        <v>-1.32</v>
      </c>
    </row>
    <row r="312" spans="1:6" ht="15" customHeight="1" x14ac:dyDescent="0.25">
      <c r="A312" s="2" t="s">
        <v>62</v>
      </c>
      <c r="B312" s="2" t="s">
        <v>583</v>
      </c>
      <c r="C312" s="2" t="s">
        <v>486</v>
      </c>
      <c r="D312" s="2" t="s">
        <v>115</v>
      </c>
      <c r="E312" s="2" t="s">
        <v>587</v>
      </c>
      <c r="F312" s="3">
        <v>2.48</v>
      </c>
    </row>
    <row r="313" spans="1:6" ht="15" customHeight="1" x14ac:dyDescent="0.25">
      <c r="A313" s="2" t="s">
        <v>62</v>
      </c>
      <c r="B313" s="2" t="s">
        <v>583</v>
      </c>
      <c r="C313" s="2" t="s">
        <v>484</v>
      </c>
      <c r="D313" s="2" t="s">
        <v>115</v>
      </c>
      <c r="E313" s="2" t="s">
        <v>585</v>
      </c>
      <c r="F313" s="3">
        <v>-16.559999999999999</v>
      </c>
    </row>
    <row r="314" spans="1:6" ht="15" customHeight="1" x14ac:dyDescent="0.25">
      <c r="A314" s="2" t="s">
        <v>62</v>
      </c>
      <c r="B314" s="2" t="s">
        <v>583</v>
      </c>
      <c r="C314" s="2" t="s">
        <v>484</v>
      </c>
      <c r="D314" s="2" t="s">
        <v>119</v>
      </c>
      <c r="E314" s="2" t="s">
        <v>588</v>
      </c>
      <c r="F314" s="3">
        <v>-7.25</v>
      </c>
    </row>
    <row r="315" spans="1:6" ht="15" customHeight="1" x14ac:dyDescent="0.25">
      <c r="A315" s="2" t="s">
        <v>62</v>
      </c>
      <c r="B315" s="2" t="s">
        <v>583</v>
      </c>
      <c r="C315" s="2" t="s">
        <v>486</v>
      </c>
      <c r="D315" s="2" t="s">
        <v>119</v>
      </c>
      <c r="E315" s="2" t="s">
        <v>589</v>
      </c>
      <c r="F315" s="3">
        <v>1.08</v>
      </c>
    </row>
    <row r="316" spans="1:6" ht="15" customHeight="1" x14ac:dyDescent="0.25">
      <c r="A316" s="2" t="s">
        <v>62</v>
      </c>
      <c r="B316" s="2" t="s">
        <v>583</v>
      </c>
      <c r="C316" s="2" t="s">
        <v>779</v>
      </c>
      <c r="D316" s="2" t="s">
        <v>115</v>
      </c>
      <c r="E316" s="2" t="s">
        <v>780</v>
      </c>
      <c r="F316" s="3">
        <v>7.73</v>
      </c>
    </row>
    <row r="317" spans="1:6" ht="15" customHeight="1" x14ac:dyDescent="0.25">
      <c r="A317" s="2" t="s">
        <v>62</v>
      </c>
      <c r="B317" s="2" t="s">
        <v>583</v>
      </c>
      <c r="C317" s="2" t="s">
        <v>484</v>
      </c>
      <c r="D317" s="2" t="s">
        <v>115</v>
      </c>
      <c r="E317" s="2" t="s">
        <v>585</v>
      </c>
      <c r="F317" s="3">
        <v>8.83</v>
      </c>
    </row>
    <row r="318" spans="1:6" ht="15" customHeight="1" x14ac:dyDescent="0.25">
      <c r="A318" s="2" t="s">
        <v>62</v>
      </c>
      <c r="B318" s="2" t="s">
        <v>583</v>
      </c>
      <c r="C318" s="2" t="s">
        <v>484</v>
      </c>
      <c r="D318" s="2" t="s">
        <v>119</v>
      </c>
      <c r="E318" s="2" t="s">
        <v>588</v>
      </c>
      <c r="F318" s="3">
        <v>4.0599999999999996</v>
      </c>
    </row>
    <row r="319" spans="1:6" ht="15" customHeight="1" x14ac:dyDescent="0.25">
      <c r="A319" s="2" t="s">
        <v>62</v>
      </c>
      <c r="B319" s="2" t="s">
        <v>583</v>
      </c>
      <c r="C319" s="2" t="s">
        <v>779</v>
      </c>
      <c r="D319" s="2" t="s">
        <v>119</v>
      </c>
      <c r="E319" s="2" t="s">
        <v>780</v>
      </c>
      <c r="F319" s="3">
        <v>3.19</v>
      </c>
    </row>
    <row r="320" spans="1:6" ht="15" customHeight="1" x14ac:dyDescent="0.25">
      <c r="A320" s="2" t="s">
        <v>62</v>
      </c>
      <c r="B320" s="2" t="s">
        <v>618</v>
      </c>
      <c r="C320" s="2" t="s">
        <v>779</v>
      </c>
      <c r="D320" s="2" t="s">
        <v>119</v>
      </c>
      <c r="E320" s="2" t="s">
        <v>780</v>
      </c>
      <c r="F320" s="3">
        <v>3.97</v>
      </c>
    </row>
    <row r="321" spans="1:6" ht="15" customHeight="1" x14ac:dyDescent="0.25">
      <c r="A321" s="2" t="s">
        <v>62</v>
      </c>
      <c r="B321" s="2" t="s">
        <v>618</v>
      </c>
      <c r="C321" s="2" t="s">
        <v>779</v>
      </c>
      <c r="D321" s="2" t="s">
        <v>115</v>
      </c>
      <c r="E321" s="2" t="s">
        <v>780</v>
      </c>
      <c r="F321" s="3">
        <v>9.2799999999999994</v>
      </c>
    </row>
    <row r="322" spans="1:6" ht="15" customHeight="1" x14ac:dyDescent="0.25">
      <c r="A322" s="2" t="s">
        <v>62</v>
      </c>
      <c r="B322" s="2" t="s">
        <v>618</v>
      </c>
      <c r="C322" s="2" t="s">
        <v>486</v>
      </c>
      <c r="D322" s="2" t="s">
        <v>119</v>
      </c>
      <c r="E322" s="2" t="s">
        <v>622</v>
      </c>
      <c r="F322" s="3">
        <v>1.31</v>
      </c>
    </row>
    <row r="323" spans="1:6" ht="15" customHeight="1" x14ac:dyDescent="0.25">
      <c r="A323" s="2" t="s">
        <v>62</v>
      </c>
      <c r="B323" s="2" t="s">
        <v>618</v>
      </c>
      <c r="C323" s="2" t="s">
        <v>484</v>
      </c>
      <c r="D323" s="2" t="s">
        <v>119</v>
      </c>
      <c r="E323" s="2" t="s">
        <v>624</v>
      </c>
      <c r="F323" s="3">
        <v>-8.75</v>
      </c>
    </row>
    <row r="324" spans="1:6" ht="15" customHeight="1" x14ac:dyDescent="0.25">
      <c r="A324" s="2" t="s">
        <v>62</v>
      </c>
      <c r="B324" s="2" t="s">
        <v>618</v>
      </c>
      <c r="C324" s="2" t="s">
        <v>486</v>
      </c>
      <c r="D324" s="2" t="s">
        <v>115</v>
      </c>
      <c r="E324" s="2" t="s">
        <v>788</v>
      </c>
      <c r="F324" s="3">
        <v>-1.46</v>
      </c>
    </row>
    <row r="325" spans="1:6" ht="15" customHeight="1" x14ac:dyDescent="0.25">
      <c r="A325" s="2" t="s">
        <v>62</v>
      </c>
      <c r="B325" s="2" t="s">
        <v>618</v>
      </c>
      <c r="C325" s="2" t="s">
        <v>486</v>
      </c>
      <c r="D325" s="2" t="s">
        <v>119</v>
      </c>
      <c r="E325" s="2" t="s">
        <v>789</v>
      </c>
      <c r="F325" s="3">
        <v>-0.71</v>
      </c>
    </row>
    <row r="326" spans="1:6" ht="15" customHeight="1" x14ac:dyDescent="0.25">
      <c r="A326" s="2" t="s">
        <v>62</v>
      </c>
      <c r="B326" s="2" t="s">
        <v>618</v>
      </c>
      <c r="C326" s="2" t="s">
        <v>486</v>
      </c>
      <c r="D326" s="2" t="s">
        <v>115</v>
      </c>
      <c r="E326" s="2" t="s">
        <v>620</v>
      </c>
      <c r="F326" s="3">
        <v>2.85</v>
      </c>
    </row>
    <row r="327" spans="1:6" ht="15" customHeight="1" x14ac:dyDescent="0.25">
      <c r="A327" s="2" t="s">
        <v>62</v>
      </c>
      <c r="B327" s="2" t="s">
        <v>618</v>
      </c>
      <c r="C327" s="2" t="s">
        <v>484</v>
      </c>
      <c r="D327" s="2" t="s">
        <v>115</v>
      </c>
      <c r="E327" s="2" t="s">
        <v>623</v>
      </c>
      <c r="F327" s="3">
        <v>-19.02</v>
      </c>
    </row>
    <row r="328" spans="1:6" ht="15" customHeight="1" x14ac:dyDescent="0.25">
      <c r="A328" s="2" t="s">
        <v>62</v>
      </c>
      <c r="B328" s="2" t="s">
        <v>618</v>
      </c>
      <c r="C328" s="2" t="s">
        <v>484</v>
      </c>
      <c r="D328" s="2" t="s">
        <v>115</v>
      </c>
      <c r="E328" s="2" t="s">
        <v>623</v>
      </c>
      <c r="F328" s="3">
        <v>9.74</v>
      </c>
    </row>
    <row r="329" spans="1:6" ht="15" customHeight="1" x14ac:dyDescent="0.25">
      <c r="A329" s="2" t="s">
        <v>62</v>
      </c>
      <c r="B329" s="2" t="s">
        <v>618</v>
      </c>
      <c r="C329" s="2" t="s">
        <v>484</v>
      </c>
      <c r="D329" s="2" t="s">
        <v>119</v>
      </c>
      <c r="E329" s="2" t="s">
        <v>624</v>
      </c>
      <c r="F329" s="3">
        <v>4.78</v>
      </c>
    </row>
    <row r="330" spans="1:6" ht="15" customHeight="1" x14ac:dyDescent="0.25">
      <c r="A330" s="2" t="s">
        <v>62</v>
      </c>
      <c r="B330" s="2" t="s">
        <v>654</v>
      </c>
      <c r="C330" s="2" t="s">
        <v>484</v>
      </c>
      <c r="D330" s="2" t="s">
        <v>115</v>
      </c>
      <c r="E330" s="2" t="s">
        <v>660</v>
      </c>
      <c r="F330" s="3">
        <v>11.93</v>
      </c>
    </row>
    <row r="331" spans="1:6" ht="15" customHeight="1" x14ac:dyDescent="0.25">
      <c r="A331" s="2" t="s">
        <v>62</v>
      </c>
      <c r="B331" s="2" t="s">
        <v>654</v>
      </c>
      <c r="C331" s="2" t="s">
        <v>484</v>
      </c>
      <c r="D331" s="2" t="s">
        <v>119</v>
      </c>
      <c r="E331" s="2" t="s">
        <v>659</v>
      </c>
      <c r="F331" s="3">
        <v>-15.04</v>
      </c>
    </row>
    <row r="332" spans="1:6" ht="15" customHeight="1" x14ac:dyDescent="0.25">
      <c r="A332" s="2" t="s">
        <v>62</v>
      </c>
      <c r="B332" s="2" t="s">
        <v>654</v>
      </c>
      <c r="C332" s="2" t="s">
        <v>486</v>
      </c>
      <c r="D332" s="2" t="s">
        <v>119</v>
      </c>
      <c r="E332" s="2" t="s">
        <v>657</v>
      </c>
      <c r="F332" s="3">
        <v>2.25</v>
      </c>
    </row>
    <row r="333" spans="1:6" ht="15" customHeight="1" x14ac:dyDescent="0.25">
      <c r="A333" s="2" t="s">
        <v>62</v>
      </c>
      <c r="B333" s="2" t="s">
        <v>654</v>
      </c>
      <c r="C333" s="2" t="s">
        <v>484</v>
      </c>
      <c r="D333" s="2" t="s">
        <v>115</v>
      </c>
      <c r="E333" s="2" t="s">
        <v>660</v>
      </c>
      <c r="F333" s="3">
        <v>-22.75</v>
      </c>
    </row>
    <row r="334" spans="1:6" ht="15" customHeight="1" x14ac:dyDescent="0.25">
      <c r="A334" s="2" t="s">
        <v>62</v>
      </c>
      <c r="B334" s="2" t="s">
        <v>654</v>
      </c>
      <c r="C334" s="2" t="s">
        <v>486</v>
      </c>
      <c r="D334" s="2" t="s">
        <v>115</v>
      </c>
      <c r="E334" s="2" t="s">
        <v>658</v>
      </c>
      <c r="F334" s="3">
        <v>3.41</v>
      </c>
    </row>
    <row r="335" spans="1:6" ht="15" customHeight="1" x14ac:dyDescent="0.25">
      <c r="A335" s="2" t="s">
        <v>62</v>
      </c>
      <c r="B335" s="2" t="s">
        <v>654</v>
      </c>
      <c r="C335" s="2" t="s">
        <v>486</v>
      </c>
      <c r="D335" s="2" t="s">
        <v>115</v>
      </c>
      <c r="E335" s="2" t="s">
        <v>790</v>
      </c>
      <c r="F335" s="3">
        <v>-1.78</v>
      </c>
    </row>
    <row r="336" spans="1:6" ht="15" customHeight="1" x14ac:dyDescent="0.25">
      <c r="A336" s="2" t="s">
        <v>62</v>
      </c>
      <c r="B336" s="2" t="s">
        <v>654</v>
      </c>
      <c r="C336" s="2" t="s">
        <v>486</v>
      </c>
      <c r="D336" s="2" t="s">
        <v>119</v>
      </c>
      <c r="E336" s="2" t="s">
        <v>791</v>
      </c>
      <c r="F336" s="3">
        <v>-1.25</v>
      </c>
    </row>
    <row r="337" spans="1:6" ht="15" customHeight="1" x14ac:dyDescent="0.25">
      <c r="A337" s="2" t="s">
        <v>62</v>
      </c>
      <c r="B337" s="2" t="s">
        <v>654</v>
      </c>
      <c r="C337" s="2" t="s">
        <v>484</v>
      </c>
      <c r="D337" s="2" t="s">
        <v>119</v>
      </c>
      <c r="E337" s="2" t="s">
        <v>659</v>
      </c>
      <c r="F337" s="3">
        <v>8.36</v>
      </c>
    </row>
    <row r="338" spans="1:6" ht="15" customHeight="1" x14ac:dyDescent="0.25">
      <c r="A338" s="2" t="s">
        <v>62</v>
      </c>
      <c r="B338" s="2" t="s">
        <v>654</v>
      </c>
      <c r="C338" s="2" t="s">
        <v>779</v>
      </c>
      <c r="D338" s="2" t="s">
        <v>115</v>
      </c>
      <c r="E338" s="2" t="s">
        <v>780</v>
      </c>
      <c r="F338" s="3">
        <v>10.82</v>
      </c>
    </row>
    <row r="339" spans="1:6" ht="15" customHeight="1" x14ac:dyDescent="0.25">
      <c r="A339" s="2" t="s">
        <v>62</v>
      </c>
      <c r="B339" s="2" t="s">
        <v>654</v>
      </c>
      <c r="C339" s="2" t="s">
        <v>779</v>
      </c>
      <c r="D339" s="2" t="s">
        <v>119</v>
      </c>
      <c r="E339" s="2" t="s">
        <v>780</v>
      </c>
      <c r="F339" s="3">
        <v>6.68</v>
      </c>
    </row>
    <row r="340" spans="1:6" ht="15" customHeight="1" x14ac:dyDescent="0.25">
      <c r="A340" s="2" t="s">
        <v>62</v>
      </c>
      <c r="B340" s="2" t="s">
        <v>695</v>
      </c>
      <c r="C340" s="2" t="s">
        <v>484</v>
      </c>
      <c r="D340" s="2" t="s">
        <v>119</v>
      </c>
      <c r="E340" s="2" t="s">
        <v>702</v>
      </c>
      <c r="F340" s="3">
        <v>8.31</v>
      </c>
    </row>
    <row r="341" spans="1:6" ht="15" customHeight="1" x14ac:dyDescent="0.25">
      <c r="A341" s="2" t="s">
        <v>62</v>
      </c>
      <c r="B341" s="2" t="s">
        <v>695</v>
      </c>
      <c r="C341" s="2" t="s">
        <v>486</v>
      </c>
      <c r="D341" s="2" t="s">
        <v>119</v>
      </c>
      <c r="E341" s="2" t="s">
        <v>710</v>
      </c>
      <c r="F341" s="3">
        <v>-1.24</v>
      </c>
    </row>
    <row r="342" spans="1:6" ht="15" customHeight="1" x14ac:dyDescent="0.25">
      <c r="A342" s="2" t="s">
        <v>62</v>
      </c>
      <c r="B342" s="2" t="s">
        <v>695</v>
      </c>
      <c r="C342" s="2" t="s">
        <v>779</v>
      </c>
      <c r="D342" s="2" t="s">
        <v>115</v>
      </c>
      <c r="E342" s="2" t="s">
        <v>780</v>
      </c>
      <c r="F342" s="3">
        <v>9.8800000000000008</v>
      </c>
    </row>
    <row r="343" spans="1:6" ht="15" customHeight="1" x14ac:dyDescent="0.25">
      <c r="A343" s="2" t="s">
        <v>62</v>
      </c>
      <c r="B343" s="2" t="s">
        <v>695</v>
      </c>
      <c r="C343" s="2" t="s">
        <v>484</v>
      </c>
      <c r="D343" s="2" t="s">
        <v>115</v>
      </c>
      <c r="E343" s="2" t="s">
        <v>703</v>
      </c>
      <c r="F343" s="3">
        <v>-21.74</v>
      </c>
    </row>
    <row r="344" spans="1:6" ht="15" customHeight="1" x14ac:dyDescent="0.25">
      <c r="A344" s="2" t="s">
        <v>62</v>
      </c>
      <c r="B344" s="2" t="s">
        <v>695</v>
      </c>
      <c r="C344" s="2" t="s">
        <v>486</v>
      </c>
      <c r="D344" s="2" t="s">
        <v>115</v>
      </c>
      <c r="E344" s="2" t="s">
        <v>697</v>
      </c>
      <c r="F344" s="3">
        <v>3.26</v>
      </c>
    </row>
    <row r="345" spans="1:6" ht="15" customHeight="1" x14ac:dyDescent="0.25">
      <c r="A345" s="2" t="s">
        <v>62</v>
      </c>
      <c r="B345" s="2" t="s">
        <v>695</v>
      </c>
      <c r="C345" s="2" t="s">
        <v>484</v>
      </c>
      <c r="D345" s="2" t="s">
        <v>119</v>
      </c>
      <c r="E345" s="2" t="s">
        <v>702</v>
      </c>
      <c r="F345" s="3">
        <v>-14.57</v>
      </c>
    </row>
    <row r="346" spans="1:6" ht="15" customHeight="1" x14ac:dyDescent="0.25">
      <c r="A346" s="2" t="s">
        <v>62</v>
      </c>
      <c r="B346" s="2" t="s">
        <v>695</v>
      </c>
      <c r="C346" s="2" t="s">
        <v>486</v>
      </c>
      <c r="D346" s="2" t="s">
        <v>119</v>
      </c>
      <c r="E346" s="2" t="s">
        <v>696</v>
      </c>
      <c r="F346" s="3">
        <v>2.1800000000000002</v>
      </c>
    </row>
    <row r="347" spans="1:6" ht="15" customHeight="1" x14ac:dyDescent="0.25">
      <c r="A347" s="2" t="s">
        <v>62</v>
      </c>
      <c r="B347" s="2" t="s">
        <v>695</v>
      </c>
      <c r="C347" s="2" t="s">
        <v>779</v>
      </c>
      <c r="D347" s="2" t="s">
        <v>119</v>
      </c>
      <c r="E347" s="2" t="s">
        <v>780</v>
      </c>
      <c r="F347" s="3">
        <v>6.26</v>
      </c>
    </row>
    <row r="348" spans="1:6" ht="15" customHeight="1" x14ac:dyDescent="0.25">
      <c r="A348" s="2" t="s">
        <v>62</v>
      </c>
      <c r="B348" s="2" t="s">
        <v>695</v>
      </c>
      <c r="C348" s="2" t="s">
        <v>484</v>
      </c>
      <c r="D348" s="2" t="s">
        <v>115</v>
      </c>
      <c r="E348" s="2" t="s">
        <v>703</v>
      </c>
      <c r="F348" s="3">
        <v>11.86</v>
      </c>
    </row>
    <row r="349" spans="1:6" ht="15" customHeight="1" x14ac:dyDescent="0.25">
      <c r="A349" s="2" t="s">
        <v>62</v>
      </c>
      <c r="B349" s="2" t="s">
        <v>695</v>
      </c>
      <c r="C349" s="2" t="s">
        <v>486</v>
      </c>
      <c r="D349" s="2" t="s">
        <v>115</v>
      </c>
      <c r="E349" s="2" t="s">
        <v>792</v>
      </c>
      <c r="F349" s="3">
        <v>-1.77</v>
      </c>
    </row>
    <row r="350" spans="1:6" ht="15" customHeight="1" x14ac:dyDescent="0.25">
      <c r="A350" s="2" t="s">
        <v>62</v>
      </c>
      <c r="B350" s="2" t="s">
        <v>739</v>
      </c>
      <c r="C350" s="2" t="s">
        <v>486</v>
      </c>
      <c r="D350" s="2" t="s">
        <v>115</v>
      </c>
      <c r="E350" s="2" t="s">
        <v>741</v>
      </c>
      <c r="F350" s="3">
        <v>3.43</v>
      </c>
    </row>
    <row r="351" spans="1:6" ht="15" customHeight="1" x14ac:dyDescent="0.25">
      <c r="A351" s="2" t="s">
        <v>62</v>
      </c>
      <c r="B351" s="2" t="s">
        <v>739</v>
      </c>
      <c r="C351" s="2" t="s">
        <v>779</v>
      </c>
      <c r="D351" s="2" t="s">
        <v>115</v>
      </c>
      <c r="E351" s="2" t="s">
        <v>780</v>
      </c>
      <c r="F351" s="3">
        <v>10.71</v>
      </c>
    </row>
    <row r="352" spans="1:6" ht="15" customHeight="1" x14ac:dyDescent="0.25">
      <c r="A352" s="2" t="s">
        <v>62</v>
      </c>
      <c r="B352" s="2" t="s">
        <v>739</v>
      </c>
      <c r="C352" s="2" t="s">
        <v>484</v>
      </c>
      <c r="D352" s="2" t="s">
        <v>115</v>
      </c>
      <c r="E352" s="2" t="s">
        <v>744</v>
      </c>
      <c r="F352" s="3">
        <v>12.21</v>
      </c>
    </row>
    <row r="353" spans="1:6" ht="15" customHeight="1" x14ac:dyDescent="0.25">
      <c r="A353" s="2" t="s">
        <v>62</v>
      </c>
      <c r="B353" s="2" t="s">
        <v>739</v>
      </c>
      <c r="C353" s="2" t="s">
        <v>486</v>
      </c>
      <c r="D353" s="2" t="s">
        <v>119</v>
      </c>
      <c r="E353" s="2" t="s">
        <v>793</v>
      </c>
      <c r="F353" s="3">
        <v>-1.33</v>
      </c>
    </row>
    <row r="354" spans="1:6" ht="15" customHeight="1" x14ac:dyDescent="0.25">
      <c r="A354" s="2" t="s">
        <v>62</v>
      </c>
      <c r="B354" s="2" t="s">
        <v>739</v>
      </c>
      <c r="C354" s="2" t="s">
        <v>484</v>
      </c>
      <c r="D354" s="2" t="s">
        <v>119</v>
      </c>
      <c r="E354" s="2" t="s">
        <v>745</v>
      </c>
      <c r="F354" s="3">
        <v>8.9</v>
      </c>
    </row>
    <row r="355" spans="1:6" ht="15" customHeight="1" x14ac:dyDescent="0.25">
      <c r="A355" s="2" t="s">
        <v>62</v>
      </c>
      <c r="B355" s="2" t="s">
        <v>739</v>
      </c>
      <c r="C355" s="2" t="s">
        <v>779</v>
      </c>
      <c r="D355" s="2" t="s">
        <v>119</v>
      </c>
      <c r="E355" s="2" t="s">
        <v>780</v>
      </c>
      <c r="F355" s="3">
        <v>6.32</v>
      </c>
    </row>
    <row r="356" spans="1:6" ht="15" customHeight="1" x14ac:dyDescent="0.25">
      <c r="A356" s="2" t="s">
        <v>62</v>
      </c>
      <c r="B356" s="2" t="s">
        <v>739</v>
      </c>
      <c r="C356" s="2" t="s">
        <v>486</v>
      </c>
      <c r="D356" s="2" t="s">
        <v>115</v>
      </c>
      <c r="E356" s="2" t="s">
        <v>794</v>
      </c>
      <c r="F356" s="3">
        <v>-1.83</v>
      </c>
    </row>
    <row r="357" spans="1:6" ht="15" customHeight="1" x14ac:dyDescent="0.25">
      <c r="A357" s="2" t="s">
        <v>62</v>
      </c>
      <c r="B357" s="2" t="s">
        <v>739</v>
      </c>
      <c r="C357" s="2" t="s">
        <v>484</v>
      </c>
      <c r="D357" s="2" t="s">
        <v>119</v>
      </c>
      <c r="E357" s="2" t="s">
        <v>745</v>
      </c>
      <c r="F357" s="3">
        <v>-15.22</v>
      </c>
    </row>
    <row r="358" spans="1:6" ht="15" customHeight="1" x14ac:dyDescent="0.25">
      <c r="A358" s="2" t="s">
        <v>62</v>
      </c>
      <c r="B358" s="2" t="s">
        <v>739</v>
      </c>
      <c r="C358" s="2" t="s">
        <v>486</v>
      </c>
      <c r="D358" s="2" t="s">
        <v>119</v>
      </c>
      <c r="E358" s="2" t="s">
        <v>742</v>
      </c>
      <c r="F358" s="3">
        <v>2.2799999999999998</v>
      </c>
    </row>
    <row r="359" spans="1:6" ht="15" customHeight="1" x14ac:dyDescent="0.25">
      <c r="A359" s="2" t="s">
        <v>62</v>
      </c>
      <c r="B359" s="2" t="s">
        <v>739</v>
      </c>
      <c r="C359" s="2" t="s">
        <v>484</v>
      </c>
      <c r="D359" s="2" t="s">
        <v>115</v>
      </c>
      <c r="E359" s="2" t="s">
        <v>744</v>
      </c>
      <c r="F359" s="3">
        <v>-22.92</v>
      </c>
    </row>
    <row r="360" spans="1:6" ht="15" customHeight="1" x14ac:dyDescent="0.25">
      <c r="A360" s="2" t="s">
        <v>62</v>
      </c>
      <c r="B360" s="2" t="s">
        <v>326</v>
      </c>
      <c r="C360" s="2" t="s">
        <v>486</v>
      </c>
      <c r="D360" s="2" t="s">
        <v>164</v>
      </c>
      <c r="E360" s="2" t="s">
        <v>795</v>
      </c>
      <c r="F360" s="3">
        <v>-0.71</v>
      </c>
    </row>
    <row r="361" spans="1:6" ht="15" customHeight="1" x14ac:dyDescent="0.25">
      <c r="A361" s="2" t="s">
        <v>62</v>
      </c>
      <c r="B361" s="2" t="s">
        <v>326</v>
      </c>
      <c r="C361" s="2" t="s">
        <v>486</v>
      </c>
      <c r="D361" s="2" t="s">
        <v>132</v>
      </c>
      <c r="E361" s="2" t="s">
        <v>796</v>
      </c>
      <c r="F361" s="3">
        <v>-1.66</v>
      </c>
    </row>
    <row r="362" spans="1:6" ht="15" customHeight="1" x14ac:dyDescent="0.25">
      <c r="A362" s="2" t="s">
        <v>62</v>
      </c>
      <c r="B362" s="2" t="s">
        <v>326</v>
      </c>
      <c r="C362" s="2" t="s">
        <v>484</v>
      </c>
      <c r="D362" s="2" t="s">
        <v>164</v>
      </c>
      <c r="E362" s="2" t="s">
        <v>797</v>
      </c>
      <c r="F362" s="3">
        <v>4.75</v>
      </c>
    </row>
    <row r="363" spans="1:6" ht="15" customHeight="1" x14ac:dyDescent="0.25">
      <c r="A363" s="2" t="s">
        <v>62</v>
      </c>
      <c r="B363" s="2" t="s">
        <v>326</v>
      </c>
      <c r="C363" s="2" t="s">
        <v>484</v>
      </c>
      <c r="D363" s="2" t="s">
        <v>132</v>
      </c>
      <c r="E363" s="2" t="s">
        <v>798</v>
      </c>
      <c r="F363" s="3">
        <v>11.11</v>
      </c>
    </row>
    <row r="364" spans="1:6" ht="15" customHeight="1" x14ac:dyDescent="0.25">
      <c r="A364" s="2" t="s">
        <v>62</v>
      </c>
      <c r="B364" s="2" t="s">
        <v>799</v>
      </c>
      <c r="C364" s="2" t="s">
        <v>484</v>
      </c>
      <c r="D364" s="2" t="s">
        <v>127</v>
      </c>
      <c r="E364" s="2" t="s">
        <v>800</v>
      </c>
      <c r="F364" s="3">
        <v>9.7899999999999991</v>
      </c>
    </row>
    <row r="365" spans="1:6" ht="15" customHeight="1" x14ac:dyDescent="0.25">
      <c r="A365" s="2" t="s">
        <v>62</v>
      </c>
      <c r="B365" s="2" t="s">
        <v>799</v>
      </c>
      <c r="C365" s="2" t="s">
        <v>486</v>
      </c>
      <c r="D365" s="2" t="s">
        <v>162</v>
      </c>
      <c r="E365" s="2" t="s">
        <v>801</v>
      </c>
      <c r="F365" s="3">
        <v>-0.27</v>
      </c>
    </row>
    <row r="366" spans="1:6" ht="15" customHeight="1" x14ac:dyDescent="0.25">
      <c r="A366" s="2" t="s">
        <v>62</v>
      </c>
      <c r="B366" s="2" t="s">
        <v>799</v>
      </c>
      <c r="C366" s="2" t="s">
        <v>486</v>
      </c>
      <c r="D366" s="2" t="s">
        <v>115</v>
      </c>
      <c r="E366" s="2" t="s">
        <v>802</v>
      </c>
      <c r="F366" s="3">
        <v>-3.1</v>
      </c>
    </row>
    <row r="367" spans="1:6" ht="15" customHeight="1" x14ac:dyDescent="0.25">
      <c r="A367" s="2" t="s">
        <v>62</v>
      </c>
      <c r="B367" s="2" t="s">
        <v>799</v>
      </c>
      <c r="C367" s="2" t="s">
        <v>486</v>
      </c>
      <c r="D367" s="2" t="s">
        <v>119</v>
      </c>
      <c r="E367" s="2" t="s">
        <v>803</v>
      </c>
      <c r="F367" s="3">
        <v>-2.11</v>
      </c>
    </row>
    <row r="368" spans="1:6" ht="15" customHeight="1" x14ac:dyDescent="0.25">
      <c r="A368" s="2" t="s">
        <v>62</v>
      </c>
      <c r="B368" s="2" t="s">
        <v>799</v>
      </c>
      <c r="C368" s="2" t="s">
        <v>486</v>
      </c>
      <c r="D368" s="2" t="s">
        <v>127</v>
      </c>
      <c r="E368" s="2" t="s">
        <v>804</v>
      </c>
      <c r="F368" s="3">
        <v>-1.46</v>
      </c>
    </row>
    <row r="369" spans="1:6" ht="15" customHeight="1" x14ac:dyDescent="0.25">
      <c r="A369" s="2" t="s">
        <v>62</v>
      </c>
      <c r="B369" s="2" t="s">
        <v>799</v>
      </c>
      <c r="C369" s="2" t="s">
        <v>484</v>
      </c>
      <c r="D369" s="2" t="s">
        <v>162</v>
      </c>
      <c r="E369" s="2" t="s">
        <v>805</v>
      </c>
      <c r="F369" s="3">
        <v>1.8</v>
      </c>
    </row>
    <row r="370" spans="1:6" ht="15" customHeight="1" x14ac:dyDescent="0.25">
      <c r="A370" s="2" t="s">
        <v>62</v>
      </c>
      <c r="B370" s="2" t="s">
        <v>799</v>
      </c>
      <c r="C370" s="2" t="s">
        <v>484</v>
      </c>
      <c r="D370" s="2" t="s">
        <v>115</v>
      </c>
      <c r="E370" s="2" t="s">
        <v>806</v>
      </c>
      <c r="F370" s="3">
        <v>20.71</v>
      </c>
    </row>
    <row r="371" spans="1:6" ht="15" customHeight="1" x14ac:dyDescent="0.25">
      <c r="A371" s="2" t="s">
        <v>62</v>
      </c>
      <c r="B371" s="2" t="s">
        <v>799</v>
      </c>
      <c r="C371" s="2" t="s">
        <v>484</v>
      </c>
      <c r="D371" s="2" t="s">
        <v>119</v>
      </c>
      <c r="E371" s="2" t="s">
        <v>807</v>
      </c>
      <c r="F371" s="3">
        <v>14.12</v>
      </c>
    </row>
    <row r="372" spans="1:6" ht="15" customHeight="1" x14ac:dyDescent="0.25">
      <c r="A372" s="2" t="s">
        <v>62</v>
      </c>
      <c r="B372" s="2" t="s">
        <v>808</v>
      </c>
      <c r="C372" s="2" t="s">
        <v>486</v>
      </c>
      <c r="D372" s="2" t="s">
        <v>158</v>
      </c>
      <c r="E372" s="2" t="s">
        <v>809</v>
      </c>
      <c r="F372" s="3">
        <v>-0.67</v>
      </c>
    </row>
    <row r="373" spans="1:6" ht="15" customHeight="1" x14ac:dyDescent="0.25">
      <c r="A373" s="2" t="s">
        <v>62</v>
      </c>
      <c r="B373" s="2" t="s">
        <v>808</v>
      </c>
      <c r="C373" s="2" t="s">
        <v>484</v>
      </c>
      <c r="D373" s="2" t="s">
        <v>164</v>
      </c>
      <c r="E373" s="2" t="s">
        <v>810</v>
      </c>
      <c r="F373" s="3">
        <v>3.69</v>
      </c>
    </row>
    <row r="374" spans="1:6" ht="15" customHeight="1" x14ac:dyDescent="0.25">
      <c r="A374" s="2" t="s">
        <v>62</v>
      </c>
      <c r="B374" s="2" t="s">
        <v>808</v>
      </c>
      <c r="C374" s="2" t="s">
        <v>484</v>
      </c>
      <c r="D374" s="2" t="s">
        <v>145</v>
      </c>
      <c r="E374" s="2" t="s">
        <v>811</v>
      </c>
      <c r="F374" s="3">
        <v>28.03</v>
      </c>
    </row>
    <row r="375" spans="1:6" ht="15" customHeight="1" x14ac:dyDescent="0.25">
      <c r="A375" s="2" t="s">
        <v>62</v>
      </c>
      <c r="B375" s="2" t="s">
        <v>808</v>
      </c>
      <c r="C375" s="2" t="s">
        <v>484</v>
      </c>
      <c r="D375" s="2" t="s">
        <v>129</v>
      </c>
      <c r="E375" s="2" t="s">
        <v>812</v>
      </c>
      <c r="F375" s="3">
        <v>9.39</v>
      </c>
    </row>
    <row r="376" spans="1:6" ht="15" customHeight="1" x14ac:dyDescent="0.25">
      <c r="A376" s="2" t="s">
        <v>62</v>
      </c>
      <c r="B376" s="2" t="s">
        <v>808</v>
      </c>
      <c r="C376" s="2" t="s">
        <v>484</v>
      </c>
      <c r="D376" s="2" t="s">
        <v>143</v>
      </c>
      <c r="E376" s="2" t="s">
        <v>813</v>
      </c>
      <c r="F376" s="3">
        <v>9.65</v>
      </c>
    </row>
    <row r="377" spans="1:6" ht="15" customHeight="1" x14ac:dyDescent="0.25">
      <c r="A377" s="2" t="s">
        <v>62</v>
      </c>
      <c r="B377" s="2" t="s">
        <v>808</v>
      </c>
      <c r="C377" s="2" t="s">
        <v>484</v>
      </c>
      <c r="D377" s="2" t="s">
        <v>158</v>
      </c>
      <c r="E377" s="2" t="s">
        <v>814</v>
      </c>
      <c r="F377" s="3">
        <v>4.5</v>
      </c>
    </row>
    <row r="378" spans="1:6" ht="15" customHeight="1" x14ac:dyDescent="0.25">
      <c r="A378" s="2" t="s">
        <v>62</v>
      </c>
      <c r="B378" s="2" t="s">
        <v>808</v>
      </c>
      <c r="C378" s="2" t="s">
        <v>486</v>
      </c>
      <c r="D378" s="2" t="s">
        <v>115</v>
      </c>
      <c r="E378" s="2" t="s">
        <v>518</v>
      </c>
      <c r="F378" s="3">
        <v>-0.04</v>
      </c>
    </row>
    <row r="379" spans="1:6" ht="15" customHeight="1" x14ac:dyDescent="0.25">
      <c r="A379" s="2" t="s">
        <v>62</v>
      </c>
      <c r="B379" s="2" t="s">
        <v>808</v>
      </c>
      <c r="C379" s="2" t="s">
        <v>486</v>
      </c>
      <c r="D379" s="2" t="s">
        <v>164</v>
      </c>
      <c r="E379" s="2" t="s">
        <v>721</v>
      </c>
      <c r="F379" s="3">
        <v>-0.55000000000000004</v>
      </c>
    </row>
    <row r="380" spans="1:6" ht="15" customHeight="1" x14ac:dyDescent="0.25">
      <c r="A380" s="2" t="s">
        <v>62</v>
      </c>
      <c r="B380" s="2" t="s">
        <v>808</v>
      </c>
      <c r="C380" s="2" t="s">
        <v>486</v>
      </c>
      <c r="D380" s="2" t="s">
        <v>129</v>
      </c>
      <c r="E380" s="2" t="s">
        <v>815</v>
      </c>
      <c r="F380" s="3">
        <v>-1.4</v>
      </c>
    </row>
    <row r="381" spans="1:6" ht="15" customHeight="1" x14ac:dyDescent="0.25">
      <c r="A381" s="2" t="s">
        <v>62</v>
      </c>
      <c r="B381" s="2" t="s">
        <v>808</v>
      </c>
      <c r="C381" s="2" t="s">
        <v>486</v>
      </c>
      <c r="D381" s="2" t="s">
        <v>145</v>
      </c>
      <c r="E381" s="2" t="s">
        <v>816</v>
      </c>
      <c r="F381" s="3">
        <v>-4.2</v>
      </c>
    </row>
    <row r="382" spans="1:6" ht="15" customHeight="1" x14ac:dyDescent="0.25">
      <c r="A382" s="2" t="s">
        <v>62</v>
      </c>
      <c r="B382" s="2" t="s">
        <v>808</v>
      </c>
      <c r="C382" s="2" t="s">
        <v>486</v>
      </c>
      <c r="D382" s="2" t="s">
        <v>143</v>
      </c>
      <c r="E382" s="2" t="s">
        <v>817</v>
      </c>
      <c r="F382" s="3">
        <v>-1.44</v>
      </c>
    </row>
    <row r="383" spans="1:6" ht="15" customHeight="1" x14ac:dyDescent="0.25">
      <c r="A383" s="2" t="s">
        <v>62</v>
      </c>
      <c r="B383" s="2" t="s">
        <v>818</v>
      </c>
      <c r="C383" s="2" t="s">
        <v>484</v>
      </c>
      <c r="D383" s="2" t="s">
        <v>140</v>
      </c>
      <c r="E383" s="2" t="s">
        <v>819</v>
      </c>
      <c r="F383" s="3">
        <v>67.709999999999994</v>
      </c>
    </row>
    <row r="384" spans="1:6" ht="15" customHeight="1" x14ac:dyDescent="0.25">
      <c r="A384" s="2" t="s">
        <v>62</v>
      </c>
      <c r="B384" s="2" t="s">
        <v>818</v>
      </c>
      <c r="C384" s="2" t="s">
        <v>486</v>
      </c>
      <c r="D384" s="2" t="s">
        <v>140</v>
      </c>
      <c r="E384" s="2" t="s">
        <v>820</v>
      </c>
      <c r="F384" s="3">
        <v>-10.15</v>
      </c>
    </row>
    <row r="385" spans="1:6" ht="15" customHeight="1" x14ac:dyDescent="0.25">
      <c r="A385" s="2" t="s">
        <v>62</v>
      </c>
      <c r="B385" s="2" t="s">
        <v>818</v>
      </c>
      <c r="C385" s="2" t="s">
        <v>486</v>
      </c>
      <c r="D385" s="2" t="s">
        <v>154</v>
      </c>
      <c r="E385" s="2" t="s">
        <v>675</v>
      </c>
      <c r="F385" s="3">
        <v>-0.1</v>
      </c>
    </row>
    <row r="386" spans="1:6" ht="15" customHeight="1" x14ac:dyDescent="0.25">
      <c r="A386" s="2" t="s">
        <v>62</v>
      </c>
      <c r="B386" s="2" t="s">
        <v>818</v>
      </c>
      <c r="C386" s="2" t="s">
        <v>486</v>
      </c>
      <c r="D386" s="2" t="s">
        <v>164</v>
      </c>
      <c r="E386" s="2" t="s">
        <v>821</v>
      </c>
      <c r="F386" s="3">
        <v>-0.28000000000000003</v>
      </c>
    </row>
    <row r="387" spans="1:6" ht="15" customHeight="1" x14ac:dyDescent="0.25">
      <c r="A387" s="2" t="s">
        <v>62</v>
      </c>
      <c r="B387" s="2" t="s">
        <v>818</v>
      </c>
      <c r="C387" s="2" t="s">
        <v>484</v>
      </c>
      <c r="D387" s="2" t="s">
        <v>154</v>
      </c>
      <c r="E387" s="2" t="s">
        <v>822</v>
      </c>
      <c r="F387" s="3">
        <v>0.72</v>
      </c>
    </row>
    <row r="388" spans="1:6" ht="15" customHeight="1" x14ac:dyDescent="0.25">
      <c r="A388" s="2" t="s">
        <v>62</v>
      </c>
      <c r="B388" s="2" t="s">
        <v>818</v>
      </c>
      <c r="C388" s="2" t="s">
        <v>484</v>
      </c>
      <c r="D388" s="2" t="s">
        <v>164</v>
      </c>
      <c r="E388" s="2" t="s">
        <v>823</v>
      </c>
      <c r="F388" s="3">
        <v>1.9</v>
      </c>
    </row>
    <row r="389" spans="1:6" ht="15" customHeight="1" x14ac:dyDescent="0.25">
      <c r="A389" s="2" t="s">
        <v>62</v>
      </c>
      <c r="B389" s="2" t="s">
        <v>824</v>
      </c>
      <c r="C389" s="2" t="s">
        <v>484</v>
      </c>
      <c r="D389" s="2" t="s">
        <v>160</v>
      </c>
      <c r="E389" s="2" t="s">
        <v>825</v>
      </c>
      <c r="F389" s="3">
        <v>5.83</v>
      </c>
    </row>
    <row r="390" spans="1:6" ht="15" customHeight="1" x14ac:dyDescent="0.25">
      <c r="A390" s="2" t="s">
        <v>62</v>
      </c>
      <c r="B390" s="2" t="s">
        <v>824</v>
      </c>
      <c r="C390" s="2" t="s">
        <v>486</v>
      </c>
      <c r="D390" s="2" t="s">
        <v>160</v>
      </c>
      <c r="E390" s="2" t="s">
        <v>826</v>
      </c>
      <c r="F390" s="3">
        <v>-0.87</v>
      </c>
    </row>
    <row r="391" spans="1:6" ht="15" customHeight="1" x14ac:dyDescent="0.25">
      <c r="A391" s="2" t="s">
        <v>62</v>
      </c>
      <c r="B391" s="2" t="s">
        <v>329</v>
      </c>
      <c r="C391" s="2" t="s">
        <v>486</v>
      </c>
      <c r="D391" s="2" t="s">
        <v>152</v>
      </c>
      <c r="E391" s="2" t="s">
        <v>827</v>
      </c>
      <c r="F391" s="3">
        <v>-12.08</v>
      </c>
    </row>
    <row r="392" spans="1:6" ht="15" customHeight="1" x14ac:dyDescent="0.25">
      <c r="A392" s="2" t="s">
        <v>62</v>
      </c>
      <c r="B392" s="2" t="s">
        <v>329</v>
      </c>
      <c r="C392" s="2" t="s">
        <v>486</v>
      </c>
      <c r="D392" s="2" t="s">
        <v>113</v>
      </c>
      <c r="E392" s="2" t="s">
        <v>573</v>
      </c>
      <c r="F392" s="3">
        <v>-0.03</v>
      </c>
    </row>
    <row r="393" spans="1:6" ht="15" customHeight="1" x14ac:dyDescent="0.25">
      <c r="A393" s="2" t="s">
        <v>62</v>
      </c>
      <c r="B393" s="2" t="s">
        <v>329</v>
      </c>
      <c r="C393" s="2" t="s">
        <v>486</v>
      </c>
      <c r="D393" s="2" t="s">
        <v>164</v>
      </c>
      <c r="E393" s="2" t="s">
        <v>828</v>
      </c>
      <c r="F393" s="3">
        <v>-0.32</v>
      </c>
    </row>
    <row r="394" spans="1:6" ht="15" customHeight="1" x14ac:dyDescent="0.25">
      <c r="A394" s="2" t="s">
        <v>62</v>
      </c>
      <c r="B394" s="2" t="s">
        <v>329</v>
      </c>
      <c r="C394" s="2" t="s">
        <v>484</v>
      </c>
      <c r="D394" s="2" t="s">
        <v>107</v>
      </c>
      <c r="E394" s="2" t="s">
        <v>829</v>
      </c>
      <c r="F394" s="3">
        <v>1.61</v>
      </c>
    </row>
    <row r="395" spans="1:6" ht="15" customHeight="1" x14ac:dyDescent="0.25">
      <c r="A395" s="2" t="s">
        <v>62</v>
      </c>
      <c r="B395" s="2" t="s">
        <v>329</v>
      </c>
      <c r="C395" s="2" t="s">
        <v>484</v>
      </c>
      <c r="D395" s="2" t="s">
        <v>152</v>
      </c>
      <c r="E395" s="2" t="s">
        <v>830</v>
      </c>
      <c r="F395" s="3">
        <v>80.59</v>
      </c>
    </row>
    <row r="396" spans="1:6" ht="15" customHeight="1" x14ac:dyDescent="0.25">
      <c r="A396" s="2" t="s">
        <v>62</v>
      </c>
      <c r="B396" s="2" t="s">
        <v>329</v>
      </c>
      <c r="C396" s="2" t="s">
        <v>484</v>
      </c>
      <c r="D396" s="2" t="s">
        <v>113</v>
      </c>
      <c r="E396" s="2" t="s">
        <v>831</v>
      </c>
      <c r="F396" s="3">
        <v>0.25</v>
      </c>
    </row>
    <row r="397" spans="1:6" ht="15" customHeight="1" x14ac:dyDescent="0.25">
      <c r="A397" s="2" t="s">
        <v>62</v>
      </c>
      <c r="B397" s="2" t="s">
        <v>329</v>
      </c>
      <c r="C397" s="2" t="s">
        <v>484</v>
      </c>
      <c r="D397" s="2" t="s">
        <v>164</v>
      </c>
      <c r="E397" s="2" t="s">
        <v>832</v>
      </c>
      <c r="F397" s="3">
        <v>2.16</v>
      </c>
    </row>
    <row r="398" spans="1:6" ht="15" customHeight="1" x14ac:dyDescent="0.25">
      <c r="A398" s="2" t="s">
        <v>62</v>
      </c>
      <c r="B398" s="2" t="s">
        <v>329</v>
      </c>
      <c r="C398" s="2" t="s">
        <v>486</v>
      </c>
      <c r="D398" s="2" t="s">
        <v>107</v>
      </c>
      <c r="E398" s="2" t="s">
        <v>833</v>
      </c>
      <c r="F398" s="3">
        <v>-0.24</v>
      </c>
    </row>
    <row r="399" spans="1:6" ht="15" customHeight="1" x14ac:dyDescent="0.25">
      <c r="A399" s="2" t="s">
        <v>62</v>
      </c>
      <c r="B399" s="2" t="s">
        <v>330</v>
      </c>
      <c r="C399" s="2" t="s">
        <v>486</v>
      </c>
      <c r="D399" s="2" t="s">
        <v>166</v>
      </c>
      <c r="E399" s="2" t="s">
        <v>834</v>
      </c>
      <c r="F399" s="3">
        <v>-0.09</v>
      </c>
    </row>
    <row r="400" spans="1:6" ht="15" customHeight="1" x14ac:dyDescent="0.25">
      <c r="A400" s="2" t="s">
        <v>62</v>
      </c>
      <c r="B400" s="2" t="s">
        <v>330</v>
      </c>
      <c r="C400" s="2" t="s">
        <v>486</v>
      </c>
      <c r="D400" s="2" t="s">
        <v>119</v>
      </c>
      <c r="E400" s="2" t="s">
        <v>835</v>
      </c>
      <c r="F400" s="3">
        <v>-2.12</v>
      </c>
    </row>
    <row r="401" spans="1:6" ht="15" customHeight="1" x14ac:dyDescent="0.25">
      <c r="A401" s="2" t="s">
        <v>62</v>
      </c>
      <c r="B401" s="2" t="s">
        <v>330</v>
      </c>
      <c r="C401" s="2" t="s">
        <v>486</v>
      </c>
      <c r="D401" s="2" t="s">
        <v>115</v>
      </c>
      <c r="E401" s="2" t="s">
        <v>836</v>
      </c>
      <c r="F401" s="3">
        <v>-3.27</v>
      </c>
    </row>
    <row r="402" spans="1:6" ht="15" customHeight="1" x14ac:dyDescent="0.25">
      <c r="A402" s="2" t="s">
        <v>62</v>
      </c>
      <c r="B402" s="2" t="s">
        <v>330</v>
      </c>
      <c r="C402" s="2" t="s">
        <v>484</v>
      </c>
      <c r="D402" s="2" t="s">
        <v>166</v>
      </c>
      <c r="E402" s="2" t="s">
        <v>837</v>
      </c>
      <c r="F402" s="3">
        <v>0.65</v>
      </c>
    </row>
    <row r="403" spans="1:6" ht="15" customHeight="1" x14ac:dyDescent="0.25">
      <c r="A403" s="2" t="s">
        <v>62</v>
      </c>
      <c r="B403" s="2" t="s">
        <v>330</v>
      </c>
      <c r="C403" s="2" t="s">
        <v>484</v>
      </c>
      <c r="D403" s="2" t="s">
        <v>119</v>
      </c>
      <c r="E403" s="2" t="s">
        <v>838</v>
      </c>
      <c r="F403" s="3">
        <v>14.18</v>
      </c>
    </row>
    <row r="404" spans="1:6" ht="15" customHeight="1" x14ac:dyDescent="0.25">
      <c r="A404" s="2" t="s">
        <v>62</v>
      </c>
      <c r="B404" s="2" t="s">
        <v>330</v>
      </c>
      <c r="C404" s="2" t="s">
        <v>484</v>
      </c>
      <c r="D404" s="2" t="s">
        <v>115</v>
      </c>
      <c r="E404" s="2" t="s">
        <v>839</v>
      </c>
      <c r="F404" s="3">
        <v>21.8</v>
      </c>
    </row>
    <row r="405" spans="1:6" ht="15" customHeight="1" x14ac:dyDescent="0.25">
      <c r="A405" s="2" t="s">
        <v>62</v>
      </c>
      <c r="B405" s="2" t="s">
        <v>840</v>
      </c>
      <c r="C405" s="2" t="s">
        <v>486</v>
      </c>
      <c r="D405" s="2" t="s">
        <v>162</v>
      </c>
      <c r="E405" s="2" t="s">
        <v>841</v>
      </c>
      <c r="F405" s="3">
        <v>-0.34</v>
      </c>
    </row>
    <row r="406" spans="1:6" ht="15" customHeight="1" x14ac:dyDescent="0.25">
      <c r="A406" s="2" t="s">
        <v>62</v>
      </c>
      <c r="B406" s="2" t="s">
        <v>840</v>
      </c>
      <c r="C406" s="2" t="s">
        <v>484</v>
      </c>
      <c r="D406" s="2" t="s">
        <v>162</v>
      </c>
      <c r="E406" s="2" t="s">
        <v>842</v>
      </c>
      <c r="F406" s="3">
        <v>2.31</v>
      </c>
    </row>
    <row r="407" spans="1:6" ht="15" customHeight="1" x14ac:dyDescent="0.25">
      <c r="A407" s="2" t="s">
        <v>62</v>
      </c>
      <c r="B407" s="2" t="s">
        <v>843</v>
      </c>
      <c r="C407" s="2" t="s">
        <v>486</v>
      </c>
      <c r="D407" s="2" t="s">
        <v>134</v>
      </c>
      <c r="E407" s="2" t="s">
        <v>844</v>
      </c>
      <c r="F407" s="3">
        <v>-0.97</v>
      </c>
    </row>
    <row r="408" spans="1:6" ht="15" customHeight="1" x14ac:dyDescent="0.25">
      <c r="A408" s="2" t="s">
        <v>62</v>
      </c>
      <c r="B408" s="2" t="s">
        <v>843</v>
      </c>
      <c r="C408" s="2" t="s">
        <v>486</v>
      </c>
      <c r="D408" s="2" t="s">
        <v>134</v>
      </c>
      <c r="E408" s="2" t="s">
        <v>781</v>
      </c>
      <c r="F408" s="3">
        <v>-0.11</v>
      </c>
    </row>
    <row r="409" spans="1:6" ht="15" customHeight="1" x14ac:dyDescent="0.25">
      <c r="A409" s="2" t="s">
        <v>62</v>
      </c>
      <c r="B409" s="2" t="s">
        <v>843</v>
      </c>
      <c r="C409" s="2" t="s">
        <v>484</v>
      </c>
      <c r="D409" s="2" t="s">
        <v>134</v>
      </c>
      <c r="E409" s="2" t="s">
        <v>845</v>
      </c>
      <c r="F409" s="3">
        <v>0.76</v>
      </c>
    </row>
    <row r="410" spans="1:6" ht="15" customHeight="1" x14ac:dyDescent="0.25">
      <c r="A410" s="2" t="s">
        <v>62</v>
      </c>
      <c r="B410" s="2" t="s">
        <v>843</v>
      </c>
      <c r="C410" s="2" t="s">
        <v>484</v>
      </c>
      <c r="D410" s="2" t="s">
        <v>134</v>
      </c>
      <c r="E410" s="2" t="s">
        <v>846</v>
      </c>
      <c r="F410" s="3">
        <v>6.51</v>
      </c>
    </row>
    <row r="411" spans="1:6" ht="15" customHeight="1" x14ac:dyDescent="0.25">
      <c r="A411" s="2" t="s">
        <v>62</v>
      </c>
      <c r="B411" s="2" t="s">
        <v>843</v>
      </c>
      <c r="C411" s="2" t="s">
        <v>486</v>
      </c>
      <c r="D411" s="2" t="s">
        <v>149</v>
      </c>
      <c r="E411" s="2" t="s">
        <v>847</v>
      </c>
      <c r="F411" s="3">
        <v>-0.09</v>
      </c>
    </row>
    <row r="412" spans="1:6" ht="15" customHeight="1" x14ac:dyDescent="0.25">
      <c r="A412" s="2" t="s">
        <v>62</v>
      </c>
      <c r="B412" s="2" t="s">
        <v>843</v>
      </c>
      <c r="C412" s="2" t="s">
        <v>486</v>
      </c>
      <c r="D412" s="2" t="s">
        <v>136</v>
      </c>
      <c r="E412" s="2" t="s">
        <v>848</v>
      </c>
      <c r="F412" s="3">
        <v>-0.66</v>
      </c>
    </row>
    <row r="413" spans="1:6" ht="15" customHeight="1" x14ac:dyDescent="0.25">
      <c r="A413" s="2" t="s">
        <v>62</v>
      </c>
      <c r="B413" s="2" t="s">
        <v>843</v>
      </c>
      <c r="C413" s="2" t="s">
        <v>484</v>
      </c>
      <c r="D413" s="2" t="s">
        <v>149</v>
      </c>
      <c r="E413" s="2" t="s">
        <v>849</v>
      </c>
      <c r="F413" s="3">
        <v>0.63</v>
      </c>
    </row>
    <row r="414" spans="1:6" ht="15" customHeight="1" x14ac:dyDescent="0.25">
      <c r="A414" s="2" t="s">
        <v>62</v>
      </c>
      <c r="B414" s="2" t="s">
        <v>843</v>
      </c>
      <c r="C414" s="2" t="s">
        <v>484</v>
      </c>
      <c r="D414" s="2" t="s">
        <v>136</v>
      </c>
      <c r="E414" s="2" t="s">
        <v>850</v>
      </c>
      <c r="F414" s="3">
        <v>4.45</v>
      </c>
    </row>
    <row r="415" spans="1:6" ht="15" customHeight="1" x14ac:dyDescent="0.25">
      <c r="A415" s="2" t="s">
        <v>62</v>
      </c>
      <c r="B415" s="2" t="s">
        <v>851</v>
      </c>
      <c r="C415" s="2" t="s">
        <v>486</v>
      </c>
      <c r="D415" s="2" t="s">
        <v>143</v>
      </c>
      <c r="E415" s="2" t="s">
        <v>512</v>
      </c>
      <c r="F415" s="3">
        <v>-0.03</v>
      </c>
    </row>
    <row r="416" spans="1:6" ht="15" customHeight="1" x14ac:dyDescent="0.25">
      <c r="A416" s="2" t="s">
        <v>62</v>
      </c>
      <c r="B416" s="2" t="s">
        <v>851</v>
      </c>
      <c r="C416" s="2" t="s">
        <v>484</v>
      </c>
      <c r="D416" s="2" t="s">
        <v>143</v>
      </c>
      <c r="E416" s="2" t="s">
        <v>852</v>
      </c>
      <c r="F416" s="3">
        <v>0.23</v>
      </c>
    </row>
    <row r="417" spans="1:6" ht="15" customHeight="1" x14ac:dyDescent="0.25">
      <c r="A417" s="2" t="s">
        <v>62</v>
      </c>
      <c r="B417" s="2" t="s">
        <v>851</v>
      </c>
      <c r="C417" s="2" t="s">
        <v>486</v>
      </c>
      <c r="D417" s="2" t="s">
        <v>143</v>
      </c>
      <c r="E417" s="2" t="s">
        <v>853</v>
      </c>
      <c r="F417" s="3">
        <v>-1.37</v>
      </c>
    </row>
    <row r="418" spans="1:6" ht="15" customHeight="1" x14ac:dyDescent="0.25">
      <c r="A418" s="2" t="s">
        <v>62</v>
      </c>
      <c r="B418" s="2" t="s">
        <v>851</v>
      </c>
      <c r="C418" s="2" t="s">
        <v>484</v>
      </c>
      <c r="D418" s="2" t="s">
        <v>143</v>
      </c>
      <c r="E418" s="2" t="s">
        <v>854</v>
      </c>
      <c r="F418" s="3">
        <v>9.14</v>
      </c>
    </row>
    <row r="419" spans="1:6" ht="15" customHeight="1" x14ac:dyDescent="0.25">
      <c r="A419" s="2" t="s">
        <v>62</v>
      </c>
      <c r="B419" s="2" t="s">
        <v>851</v>
      </c>
      <c r="C419" s="2" t="s">
        <v>486</v>
      </c>
      <c r="D419" s="2" t="s">
        <v>127</v>
      </c>
      <c r="E419" s="2" t="s">
        <v>855</v>
      </c>
      <c r="F419" s="3">
        <v>-1.48</v>
      </c>
    </row>
    <row r="420" spans="1:6" ht="15" customHeight="1" x14ac:dyDescent="0.25">
      <c r="A420" s="2" t="s">
        <v>62</v>
      </c>
      <c r="B420" s="2" t="s">
        <v>851</v>
      </c>
      <c r="C420" s="2" t="s">
        <v>484</v>
      </c>
      <c r="D420" s="2" t="s">
        <v>132</v>
      </c>
      <c r="E420" s="2" t="s">
        <v>856</v>
      </c>
      <c r="F420" s="3">
        <v>27.86</v>
      </c>
    </row>
    <row r="421" spans="1:6" ht="15" customHeight="1" x14ac:dyDescent="0.25">
      <c r="A421" s="2" t="s">
        <v>62</v>
      </c>
      <c r="B421" s="2" t="s">
        <v>851</v>
      </c>
      <c r="C421" s="2" t="s">
        <v>484</v>
      </c>
      <c r="D421" s="2" t="s">
        <v>127</v>
      </c>
      <c r="E421" s="2" t="s">
        <v>857</v>
      </c>
      <c r="F421" s="3">
        <v>9.89</v>
      </c>
    </row>
    <row r="422" spans="1:6" ht="15" customHeight="1" x14ac:dyDescent="0.25">
      <c r="A422" s="2" t="s">
        <v>62</v>
      </c>
      <c r="B422" s="2" t="s">
        <v>851</v>
      </c>
      <c r="C422" s="2" t="s">
        <v>486</v>
      </c>
      <c r="D422" s="2" t="s">
        <v>164</v>
      </c>
      <c r="E422" s="2" t="s">
        <v>858</v>
      </c>
      <c r="F422" s="3">
        <v>-0.56999999999999995</v>
      </c>
    </row>
    <row r="423" spans="1:6" ht="15" customHeight="1" x14ac:dyDescent="0.25">
      <c r="A423" s="2" t="s">
        <v>62</v>
      </c>
      <c r="B423" s="2" t="s">
        <v>851</v>
      </c>
      <c r="C423" s="2" t="s">
        <v>486</v>
      </c>
      <c r="D423" s="2" t="s">
        <v>132</v>
      </c>
      <c r="E423" s="2" t="s">
        <v>859</v>
      </c>
      <c r="F423" s="3">
        <v>-4.17</v>
      </c>
    </row>
    <row r="424" spans="1:6" ht="15" customHeight="1" x14ac:dyDescent="0.25">
      <c r="A424" s="2" t="s">
        <v>62</v>
      </c>
      <c r="B424" s="2" t="s">
        <v>851</v>
      </c>
      <c r="C424" s="2" t="s">
        <v>484</v>
      </c>
      <c r="D424" s="2" t="s">
        <v>164</v>
      </c>
      <c r="E424" s="2" t="s">
        <v>860</v>
      </c>
      <c r="F424" s="3">
        <v>3.8</v>
      </c>
    </row>
    <row r="425" spans="1:6" ht="15" customHeight="1" x14ac:dyDescent="0.25">
      <c r="A425" s="2" t="s">
        <v>62</v>
      </c>
      <c r="B425" s="2" t="s">
        <v>331</v>
      </c>
      <c r="C425" s="2" t="s">
        <v>486</v>
      </c>
      <c r="D425" s="2" t="s">
        <v>156</v>
      </c>
      <c r="E425" s="2" t="s">
        <v>861</v>
      </c>
      <c r="F425" s="3">
        <v>-1.23</v>
      </c>
    </row>
    <row r="426" spans="1:6" ht="15" customHeight="1" x14ac:dyDescent="0.25">
      <c r="A426" s="2" t="s">
        <v>62</v>
      </c>
      <c r="B426" s="2" t="s">
        <v>331</v>
      </c>
      <c r="C426" s="2" t="s">
        <v>484</v>
      </c>
      <c r="D426" s="2" t="s">
        <v>156</v>
      </c>
      <c r="E426" s="2" t="s">
        <v>862</v>
      </c>
      <c r="F426" s="3">
        <v>8.2200000000000006</v>
      </c>
    </row>
    <row r="427" spans="1:6" ht="15" customHeight="1" x14ac:dyDescent="0.25">
      <c r="A427" s="2" t="s">
        <v>62</v>
      </c>
      <c r="B427" s="2" t="s">
        <v>331</v>
      </c>
      <c r="C427" s="2" t="s">
        <v>486</v>
      </c>
      <c r="D427" s="2" t="s">
        <v>121</v>
      </c>
      <c r="E427" s="2" t="s">
        <v>863</v>
      </c>
      <c r="F427" s="3">
        <v>-3.1</v>
      </c>
    </row>
    <row r="428" spans="1:6" ht="15" customHeight="1" x14ac:dyDescent="0.25">
      <c r="A428" s="2" t="s">
        <v>62</v>
      </c>
      <c r="B428" s="2" t="s">
        <v>331</v>
      </c>
      <c r="C428" s="2" t="s">
        <v>484</v>
      </c>
      <c r="D428" s="2" t="s">
        <v>121</v>
      </c>
      <c r="E428" s="2" t="s">
        <v>864</v>
      </c>
      <c r="F428" s="3">
        <v>20.73</v>
      </c>
    </row>
    <row r="429" spans="1:6" ht="15" customHeight="1" x14ac:dyDescent="0.25">
      <c r="A429" s="2" t="s">
        <v>64</v>
      </c>
      <c r="B429" s="2" t="s">
        <v>865</v>
      </c>
      <c r="C429" s="2" t="s">
        <v>486</v>
      </c>
      <c r="D429" s="2" t="s">
        <v>129</v>
      </c>
      <c r="E429" s="2" t="s">
        <v>866</v>
      </c>
      <c r="F429" s="3">
        <v>-0.22</v>
      </c>
    </row>
    <row r="430" spans="1:6" ht="15" customHeight="1" x14ac:dyDescent="0.25">
      <c r="A430" s="2" t="s">
        <v>64</v>
      </c>
      <c r="B430" s="2" t="s">
        <v>865</v>
      </c>
      <c r="C430" s="2" t="s">
        <v>484</v>
      </c>
      <c r="D430" s="2" t="s">
        <v>129</v>
      </c>
      <c r="E430" s="2" t="s">
        <v>867</v>
      </c>
      <c r="F430" s="3">
        <v>1.47</v>
      </c>
    </row>
    <row r="431" spans="1:6" ht="15" customHeight="1" x14ac:dyDescent="0.25">
      <c r="A431" s="2" t="s">
        <v>64</v>
      </c>
      <c r="B431" s="2" t="s">
        <v>865</v>
      </c>
      <c r="C431" s="2" t="s">
        <v>486</v>
      </c>
      <c r="D431" s="2" t="s">
        <v>129</v>
      </c>
      <c r="E431" s="2" t="s">
        <v>868</v>
      </c>
      <c r="F431" s="3">
        <v>-2.42</v>
      </c>
    </row>
    <row r="432" spans="1:6" ht="15" customHeight="1" x14ac:dyDescent="0.25">
      <c r="A432" s="2" t="s">
        <v>64</v>
      </c>
      <c r="B432" s="2" t="s">
        <v>865</v>
      </c>
      <c r="C432" s="2" t="s">
        <v>484</v>
      </c>
      <c r="D432" s="2" t="s">
        <v>129</v>
      </c>
      <c r="E432" s="2" t="s">
        <v>869</v>
      </c>
      <c r="F432" s="3">
        <v>16.190000000000001</v>
      </c>
    </row>
    <row r="433" spans="1:6" ht="15" customHeight="1" x14ac:dyDescent="0.25">
      <c r="A433" s="2" t="s">
        <v>64</v>
      </c>
      <c r="B433" s="2" t="s">
        <v>870</v>
      </c>
      <c r="C433" s="2" t="s">
        <v>486</v>
      </c>
      <c r="D433" s="2" t="s">
        <v>158</v>
      </c>
      <c r="E433" s="2" t="s">
        <v>871</v>
      </c>
      <c r="F433" s="3">
        <v>-0.79</v>
      </c>
    </row>
    <row r="434" spans="1:6" ht="15" customHeight="1" x14ac:dyDescent="0.25">
      <c r="A434" s="2" t="s">
        <v>64</v>
      </c>
      <c r="B434" s="2" t="s">
        <v>870</v>
      </c>
      <c r="C434" s="2" t="s">
        <v>486</v>
      </c>
      <c r="D434" s="2" t="s">
        <v>145</v>
      </c>
      <c r="E434" s="2" t="s">
        <v>872</v>
      </c>
      <c r="F434" s="3">
        <v>-4.25</v>
      </c>
    </row>
    <row r="435" spans="1:6" ht="15" customHeight="1" x14ac:dyDescent="0.25">
      <c r="A435" s="2" t="s">
        <v>64</v>
      </c>
      <c r="B435" s="2" t="s">
        <v>870</v>
      </c>
      <c r="C435" s="2" t="s">
        <v>486</v>
      </c>
      <c r="D435" s="2" t="s">
        <v>164</v>
      </c>
      <c r="E435" s="2" t="s">
        <v>873</v>
      </c>
      <c r="F435" s="3">
        <v>-0.56000000000000005</v>
      </c>
    </row>
    <row r="436" spans="1:6" ht="15" customHeight="1" x14ac:dyDescent="0.25">
      <c r="A436" s="2" t="s">
        <v>64</v>
      </c>
      <c r="B436" s="2" t="s">
        <v>870</v>
      </c>
      <c r="C436" s="2" t="s">
        <v>484</v>
      </c>
      <c r="D436" s="2" t="s">
        <v>158</v>
      </c>
      <c r="E436" s="2" t="s">
        <v>874</v>
      </c>
      <c r="F436" s="3">
        <v>5.33</v>
      </c>
    </row>
    <row r="437" spans="1:6" ht="15" customHeight="1" x14ac:dyDescent="0.25">
      <c r="A437" s="2" t="s">
        <v>64</v>
      </c>
      <c r="B437" s="2" t="s">
        <v>870</v>
      </c>
      <c r="C437" s="2" t="s">
        <v>484</v>
      </c>
      <c r="D437" s="2" t="s">
        <v>145</v>
      </c>
      <c r="E437" s="2" t="s">
        <v>875</v>
      </c>
      <c r="F437" s="3">
        <v>28.37</v>
      </c>
    </row>
    <row r="438" spans="1:6" ht="15" customHeight="1" x14ac:dyDescent="0.25">
      <c r="A438" s="2" t="s">
        <v>64</v>
      </c>
      <c r="B438" s="2" t="s">
        <v>870</v>
      </c>
      <c r="C438" s="2" t="s">
        <v>484</v>
      </c>
      <c r="D438" s="2" t="s">
        <v>164</v>
      </c>
      <c r="E438" s="2" t="s">
        <v>876</v>
      </c>
      <c r="F438" s="3">
        <v>3.76</v>
      </c>
    </row>
    <row r="439" spans="1:6" ht="15" customHeight="1" x14ac:dyDescent="0.25">
      <c r="A439" s="2" t="s">
        <v>64</v>
      </c>
      <c r="B439" s="2" t="s">
        <v>877</v>
      </c>
      <c r="C439" s="2" t="s">
        <v>486</v>
      </c>
      <c r="D439" s="2" t="s">
        <v>117</v>
      </c>
      <c r="E439" s="2" t="s">
        <v>878</v>
      </c>
      <c r="F439" s="3">
        <v>-0.89</v>
      </c>
    </row>
    <row r="440" spans="1:6" ht="15" customHeight="1" x14ac:dyDescent="0.25">
      <c r="A440" s="2" t="s">
        <v>64</v>
      </c>
      <c r="B440" s="2" t="s">
        <v>877</v>
      </c>
      <c r="C440" s="2" t="s">
        <v>486</v>
      </c>
      <c r="D440" s="2" t="s">
        <v>123</v>
      </c>
      <c r="E440" s="2" t="s">
        <v>879</v>
      </c>
      <c r="F440" s="3">
        <v>-0.35</v>
      </c>
    </row>
    <row r="441" spans="1:6" ht="15" customHeight="1" x14ac:dyDescent="0.25">
      <c r="A441" s="2" t="s">
        <v>64</v>
      </c>
      <c r="B441" s="2" t="s">
        <v>877</v>
      </c>
      <c r="C441" s="2" t="s">
        <v>486</v>
      </c>
      <c r="D441" s="2" t="s">
        <v>109</v>
      </c>
      <c r="E441" s="2" t="s">
        <v>880</v>
      </c>
      <c r="F441" s="3">
        <v>-0.08</v>
      </c>
    </row>
    <row r="442" spans="1:6" ht="15" customHeight="1" x14ac:dyDescent="0.25">
      <c r="A442" s="2" t="s">
        <v>64</v>
      </c>
      <c r="B442" s="2" t="s">
        <v>877</v>
      </c>
      <c r="C442" s="2" t="s">
        <v>484</v>
      </c>
      <c r="D442" s="2" t="s">
        <v>117</v>
      </c>
      <c r="E442" s="2" t="s">
        <v>881</v>
      </c>
      <c r="F442" s="3">
        <v>5.94</v>
      </c>
    </row>
    <row r="443" spans="1:6" ht="15" customHeight="1" x14ac:dyDescent="0.25">
      <c r="A443" s="2" t="s">
        <v>64</v>
      </c>
      <c r="B443" s="2" t="s">
        <v>877</v>
      </c>
      <c r="C443" s="2" t="s">
        <v>484</v>
      </c>
      <c r="D443" s="2" t="s">
        <v>123</v>
      </c>
      <c r="E443" s="2" t="s">
        <v>882</v>
      </c>
      <c r="F443" s="3">
        <v>2.36</v>
      </c>
    </row>
    <row r="444" spans="1:6" ht="15" customHeight="1" x14ac:dyDescent="0.25">
      <c r="A444" s="2" t="s">
        <v>64</v>
      </c>
      <c r="B444" s="2" t="s">
        <v>877</v>
      </c>
      <c r="C444" s="2" t="s">
        <v>484</v>
      </c>
      <c r="D444" s="2" t="s">
        <v>109</v>
      </c>
      <c r="E444" s="2" t="s">
        <v>883</v>
      </c>
      <c r="F444" s="3">
        <v>0.59</v>
      </c>
    </row>
    <row r="445" spans="1:6" ht="15" customHeight="1" x14ac:dyDescent="0.25">
      <c r="A445" s="2" t="s">
        <v>64</v>
      </c>
      <c r="B445" s="2" t="s">
        <v>884</v>
      </c>
      <c r="C445" s="2" t="s">
        <v>486</v>
      </c>
      <c r="D445" s="2" t="s">
        <v>125</v>
      </c>
      <c r="E445" s="2" t="s">
        <v>885</v>
      </c>
      <c r="F445" s="3">
        <v>-0.96</v>
      </c>
    </row>
    <row r="446" spans="1:6" ht="15" customHeight="1" x14ac:dyDescent="0.25">
      <c r="A446" s="2" t="s">
        <v>64</v>
      </c>
      <c r="B446" s="2" t="s">
        <v>884</v>
      </c>
      <c r="C446" s="2" t="s">
        <v>486</v>
      </c>
      <c r="D446" s="2" t="s">
        <v>164</v>
      </c>
      <c r="E446" s="2" t="s">
        <v>886</v>
      </c>
      <c r="F446" s="3">
        <v>-0.43</v>
      </c>
    </row>
    <row r="447" spans="1:6" ht="15" customHeight="1" x14ac:dyDescent="0.25">
      <c r="A447" s="2" t="s">
        <v>64</v>
      </c>
      <c r="B447" s="2" t="s">
        <v>884</v>
      </c>
      <c r="C447" s="2" t="s">
        <v>486</v>
      </c>
      <c r="D447" s="2" t="s">
        <v>140</v>
      </c>
      <c r="E447" s="2" t="s">
        <v>887</v>
      </c>
      <c r="F447" s="3">
        <v>-7.91</v>
      </c>
    </row>
    <row r="448" spans="1:6" ht="15" customHeight="1" x14ac:dyDescent="0.25">
      <c r="A448" s="2" t="s">
        <v>64</v>
      </c>
      <c r="B448" s="2" t="s">
        <v>884</v>
      </c>
      <c r="C448" s="2" t="s">
        <v>484</v>
      </c>
      <c r="D448" s="2" t="s">
        <v>140</v>
      </c>
      <c r="E448" s="2" t="s">
        <v>888</v>
      </c>
      <c r="F448" s="3">
        <v>52.79</v>
      </c>
    </row>
    <row r="449" spans="1:6" ht="15" customHeight="1" x14ac:dyDescent="0.25">
      <c r="A449" s="2" t="s">
        <v>64</v>
      </c>
      <c r="B449" s="2" t="s">
        <v>884</v>
      </c>
      <c r="C449" s="2" t="s">
        <v>484</v>
      </c>
      <c r="D449" s="2" t="s">
        <v>125</v>
      </c>
      <c r="E449" s="2" t="s">
        <v>889</v>
      </c>
      <c r="F449" s="3">
        <v>6.42</v>
      </c>
    </row>
    <row r="450" spans="1:6" ht="15" customHeight="1" x14ac:dyDescent="0.25">
      <c r="A450" s="2" t="s">
        <v>64</v>
      </c>
      <c r="B450" s="2" t="s">
        <v>884</v>
      </c>
      <c r="C450" s="2" t="s">
        <v>484</v>
      </c>
      <c r="D450" s="2" t="s">
        <v>164</v>
      </c>
      <c r="E450" s="2" t="s">
        <v>890</v>
      </c>
      <c r="F450" s="3">
        <v>2.91</v>
      </c>
    </row>
    <row r="451" spans="1:6" ht="15" customHeight="1" x14ac:dyDescent="0.25">
      <c r="A451" s="2" t="s">
        <v>64</v>
      </c>
      <c r="B451" s="2" t="s">
        <v>891</v>
      </c>
      <c r="C451" s="2" t="s">
        <v>486</v>
      </c>
      <c r="D451" s="2" t="s">
        <v>154</v>
      </c>
      <c r="E451" s="2" t="s">
        <v>675</v>
      </c>
      <c r="F451" s="3">
        <v>-0.1</v>
      </c>
    </row>
    <row r="452" spans="1:6" ht="15" customHeight="1" x14ac:dyDescent="0.25">
      <c r="A452" s="2" t="s">
        <v>64</v>
      </c>
      <c r="B452" s="2" t="s">
        <v>891</v>
      </c>
      <c r="C452" s="2" t="s">
        <v>484</v>
      </c>
      <c r="D452" s="2" t="s">
        <v>154</v>
      </c>
      <c r="E452" s="2" t="s">
        <v>892</v>
      </c>
      <c r="F452" s="3">
        <v>0.72</v>
      </c>
    </row>
    <row r="453" spans="1:6" ht="15" customHeight="1" x14ac:dyDescent="0.25">
      <c r="A453" s="2" t="s">
        <v>64</v>
      </c>
      <c r="B453" s="2" t="s">
        <v>337</v>
      </c>
      <c r="C453" s="2" t="s">
        <v>486</v>
      </c>
      <c r="D453" s="2" t="s">
        <v>152</v>
      </c>
      <c r="E453" s="2" t="s">
        <v>893</v>
      </c>
      <c r="F453" s="3">
        <v>-10.98</v>
      </c>
    </row>
    <row r="454" spans="1:6" ht="15" customHeight="1" x14ac:dyDescent="0.25">
      <c r="A454" s="2" t="s">
        <v>64</v>
      </c>
      <c r="B454" s="2" t="s">
        <v>337</v>
      </c>
      <c r="C454" s="2" t="s">
        <v>486</v>
      </c>
      <c r="D454" s="2" t="s">
        <v>164</v>
      </c>
      <c r="E454" s="2" t="s">
        <v>894</v>
      </c>
      <c r="F454" s="3">
        <v>-0.34</v>
      </c>
    </row>
    <row r="455" spans="1:6" ht="15" customHeight="1" x14ac:dyDescent="0.25">
      <c r="A455" s="2" t="s">
        <v>64</v>
      </c>
      <c r="B455" s="2" t="s">
        <v>337</v>
      </c>
      <c r="C455" s="2" t="s">
        <v>484</v>
      </c>
      <c r="D455" s="2" t="s">
        <v>152</v>
      </c>
      <c r="E455" s="2" t="s">
        <v>895</v>
      </c>
      <c r="F455" s="3">
        <v>73.23</v>
      </c>
    </row>
    <row r="456" spans="1:6" ht="15" customHeight="1" x14ac:dyDescent="0.25">
      <c r="A456" s="2" t="s">
        <v>64</v>
      </c>
      <c r="B456" s="2" t="s">
        <v>337</v>
      </c>
      <c r="C456" s="2" t="s">
        <v>484</v>
      </c>
      <c r="D456" s="2" t="s">
        <v>164</v>
      </c>
      <c r="E456" s="2" t="s">
        <v>896</v>
      </c>
      <c r="F456" s="3">
        <v>2.33</v>
      </c>
    </row>
    <row r="457" spans="1:6" ht="15" customHeight="1" x14ac:dyDescent="0.25">
      <c r="A457" s="2" t="s">
        <v>64</v>
      </c>
      <c r="B457" s="2" t="s">
        <v>339</v>
      </c>
      <c r="C457" s="2" t="s">
        <v>486</v>
      </c>
      <c r="D457" s="2" t="s">
        <v>134</v>
      </c>
      <c r="E457" s="2" t="s">
        <v>897</v>
      </c>
      <c r="F457" s="3">
        <v>-1.1499999999999999</v>
      </c>
    </row>
    <row r="458" spans="1:6" ht="15" customHeight="1" x14ac:dyDescent="0.25">
      <c r="A458" s="2" t="s">
        <v>64</v>
      </c>
      <c r="B458" s="2" t="s">
        <v>339</v>
      </c>
      <c r="C458" s="2" t="s">
        <v>486</v>
      </c>
      <c r="D458" s="2" t="s">
        <v>132</v>
      </c>
      <c r="E458" s="2" t="s">
        <v>898</v>
      </c>
      <c r="F458" s="3">
        <v>-2.79</v>
      </c>
    </row>
    <row r="459" spans="1:6" ht="15" customHeight="1" x14ac:dyDescent="0.25">
      <c r="A459" s="2" t="s">
        <v>64</v>
      </c>
      <c r="B459" s="2" t="s">
        <v>339</v>
      </c>
      <c r="C459" s="2" t="s">
        <v>486</v>
      </c>
      <c r="D459" s="2" t="s">
        <v>136</v>
      </c>
      <c r="E459" s="2" t="s">
        <v>899</v>
      </c>
      <c r="F459" s="3">
        <v>-0.7</v>
      </c>
    </row>
    <row r="460" spans="1:6" ht="15" customHeight="1" x14ac:dyDescent="0.25">
      <c r="A460" s="2" t="s">
        <v>64</v>
      </c>
      <c r="B460" s="2" t="s">
        <v>339</v>
      </c>
      <c r="C460" s="2" t="s">
        <v>486</v>
      </c>
      <c r="D460" s="2" t="s">
        <v>164</v>
      </c>
      <c r="E460" s="2" t="s">
        <v>900</v>
      </c>
      <c r="F460" s="3">
        <v>-0.53</v>
      </c>
    </row>
    <row r="461" spans="1:6" ht="15" customHeight="1" x14ac:dyDescent="0.25">
      <c r="A461" s="2" t="s">
        <v>64</v>
      </c>
      <c r="B461" s="2" t="s">
        <v>339</v>
      </c>
      <c r="C461" s="2" t="s">
        <v>484</v>
      </c>
      <c r="D461" s="2" t="s">
        <v>132</v>
      </c>
      <c r="E461" s="2" t="s">
        <v>901</v>
      </c>
      <c r="F461" s="3">
        <v>18.61</v>
      </c>
    </row>
    <row r="462" spans="1:6" ht="15" customHeight="1" x14ac:dyDescent="0.25">
      <c r="A462" s="2" t="s">
        <v>64</v>
      </c>
      <c r="B462" s="2" t="s">
        <v>339</v>
      </c>
      <c r="C462" s="2" t="s">
        <v>484</v>
      </c>
      <c r="D462" s="2" t="s">
        <v>134</v>
      </c>
      <c r="E462" s="2" t="s">
        <v>902</v>
      </c>
      <c r="F462" s="3">
        <v>7.67</v>
      </c>
    </row>
    <row r="463" spans="1:6" ht="15" customHeight="1" x14ac:dyDescent="0.25">
      <c r="A463" s="2" t="s">
        <v>64</v>
      </c>
      <c r="B463" s="2" t="s">
        <v>339</v>
      </c>
      <c r="C463" s="2" t="s">
        <v>484</v>
      </c>
      <c r="D463" s="2" t="s">
        <v>136</v>
      </c>
      <c r="E463" s="2" t="s">
        <v>903</v>
      </c>
      <c r="F463" s="3">
        <v>4.67</v>
      </c>
    </row>
    <row r="464" spans="1:6" ht="15" customHeight="1" x14ac:dyDescent="0.25">
      <c r="A464" s="2" t="s">
        <v>64</v>
      </c>
      <c r="B464" s="2" t="s">
        <v>339</v>
      </c>
      <c r="C464" s="2" t="s">
        <v>484</v>
      </c>
      <c r="D464" s="2" t="s">
        <v>164</v>
      </c>
      <c r="E464" s="2" t="s">
        <v>904</v>
      </c>
      <c r="F464" s="3">
        <v>3.58</v>
      </c>
    </row>
    <row r="465" spans="1:6" ht="15" customHeight="1" x14ac:dyDescent="0.25">
      <c r="A465" s="2" t="s">
        <v>64</v>
      </c>
      <c r="B465" s="2" t="s">
        <v>341</v>
      </c>
      <c r="C465" s="2" t="s">
        <v>486</v>
      </c>
      <c r="D465" s="2" t="s">
        <v>117</v>
      </c>
      <c r="E465" s="2" t="s">
        <v>905</v>
      </c>
      <c r="F465" s="3">
        <v>-1.05</v>
      </c>
    </row>
    <row r="466" spans="1:6" ht="15" customHeight="1" x14ac:dyDescent="0.25">
      <c r="A466" s="2" t="s">
        <v>64</v>
      </c>
      <c r="B466" s="2" t="s">
        <v>341</v>
      </c>
      <c r="C466" s="2" t="s">
        <v>486</v>
      </c>
      <c r="D466" s="2" t="s">
        <v>123</v>
      </c>
      <c r="E466" s="2" t="s">
        <v>906</v>
      </c>
      <c r="F466" s="3">
        <v>-0.49</v>
      </c>
    </row>
    <row r="467" spans="1:6" ht="15" customHeight="1" x14ac:dyDescent="0.25">
      <c r="A467" s="2" t="s">
        <v>64</v>
      </c>
      <c r="B467" s="2" t="s">
        <v>341</v>
      </c>
      <c r="C467" s="2" t="s">
        <v>484</v>
      </c>
      <c r="D467" s="2" t="s">
        <v>117</v>
      </c>
      <c r="E467" s="2" t="s">
        <v>907</v>
      </c>
      <c r="F467" s="3">
        <v>7.06</v>
      </c>
    </row>
    <row r="468" spans="1:6" ht="15" customHeight="1" x14ac:dyDescent="0.25">
      <c r="A468" s="2" t="s">
        <v>64</v>
      </c>
      <c r="B468" s="2" t="s">
        <v>341</v>
      </c>
      <c r="C468" s="2" t="s">
        <v>484</v>
      </c>
      <c r="D468" s="2" t="s">
        <v>123</v>
      </c>
      <c r="E468" s="2" t="s">
        <v>908</v>
      </c>
      <c r="F468" s="3">
        <v>3.31</v>
      </c>
    </row>
    <row r="469" spans="1:6" ht="15" customHeight="1" x14ac:dyDescent="0.25">
      <c r="A469" s="2" t="s">
        <v>64</v>
      </c>
      <c r="B469" s="2" t="s">
        <v>342</v>
      </c>
      <c r="C469" s="2" t="s">
        <v>486</v>
      </c>
      <c r="D469" s="2" t="s">
        <v>145</v>
      </c>
      <c r="E469" s="2" t="s">
        <v>909</v>
      </c>
      <c r="F469" s="3">
        <v>-4.34</v>
      </c>
    </row>
    <row r="470" spans="1:6" ht="15" customHeight="1" x14ac:dyDescent="0.25">
      <c r="A470" s="2" t="s">
        <v>64</v>
      </c>
      <c r="B470" s="2" t="s">
        <v>342</v>
      </c>
      <c r="C470" s="2" t="s">
        <v>484</v>
      </c>
      <c r="D470" s="2" t="s">
        <v>145</v>
      </c>
      <c r="E470" s="2" t="s">
        <v>910</v>
      </c>
      <c r="F470" s="3">
        <v>28.96</v>
      </c>
    </row>
    <row r="471" spans="1:6" ht="15" customHeight="1" x14ac:dyDescent="0.25">
      <c r="A471" s="2" t="s">
        <v>64</v>
      </c>
      <c r="B471" s="2" t="s">
        <v>342</v>
      </c>
      <c r="C471" s="2" t="s">
        <v>486</v>
      </c>
      <c r="D471" s="2" t="s">
        <v>164</v>
      </c>
      <c r="E471" s="2" t="s">
        <v>911</v>
      </c>
      <c r="F471" s="3">
        <v>-0.45</v>
      </c>
    </row>
    <row r="472" spans="1:6" ht="15" customHeight="1" x14ac:dyDescent="0.25">
      <c r="A472" s="2" t="s">
        <v>64</v>
      </c>
      <c r="B472" s="2" t="s">
        <v>342</v>
      </c>
      <c r="C472" s="2" t="s">
        <v>484</v>
      </c>
      <c r="D472" s="2" t="s">
        <v>164</v>
      </c>
      <c r="E472" s="2" t="s">
        <v>912</v>
      </c>
      <c r="F472" s="3">
        <v>3.06</v>
      </c>
    </row>
    <row r="473" spans="1:6" ht="15" customHeight="1" x14ac:dyDescent="0.25">
      <c r="A473" s="2" t="s">
        <v>64</v>
      </c>
      <c r="B473" s="2" t="s">
        <v>342</v>
      </c>
      <c r="C473" s="2" t="s">
        <v>486</v>
      </c>
      <c r="D473" s="2" t="s">
        <v>156</v>
      </c>
      <c r="E473" s="2" t="s">
        <v>913</v>
      </c>
      <c r="F473" s="3">
        <v>-1.63</v>
      </c>
    </row>
    <row r="474" spans="1:6" ht="15" customHeight="1" x14ac:dyDescent="0.25">
      <c r="A474" s="2" t="s">
        <v>64</v>
      </c>
      <c r="B474" s="2" t="s">
        <v>342</v>
      </c>
      <c r="C474" s="2" t="s">
        <v>484</v>
      </c>
      <c r="D474" s="2" t="s">
        <v>156</v>
      </c>
      <c r="E474" s="2" t="s">
        <v>914</v>
      </c>
      <c r="F474" s="3">
        <v>10.91</v>
      </c>
    </row>
    <row r="475" spans="1:6" ht="15" customHeight="1" x14ac:dyDescent="0.25">
      <c r="A475" s="2" t="s">
        <v>64</v>
      </c>
      <c r="B475" s="2" t="s">
        <v>342</v>
      </c>
      <c r="C475" s="2" t="s">
        <v>486</v>
      </c>
      <c r="D475" s="2" t="s">
        <v>121</v>
      </c>
      <c r="E475" s="2" t="s">
        <v>915</v>
      </c>
      <c r="F475" s="3">
        <v>-3.09</v>
      </c>
    </row>
    <row r="476" spans="1:6" ht="15" customHeight="1" x14ac:dyDescent="0.25">
      <c r="A476" s="2" t="s">
        <v>64</v>
      </c>
      <c r="B476" s="2" t="s">
        <v>342</v>
      </c>
      <c r="C476" s="2" t="s">
        <v>484</v>
      </c>
      <c r="D476" s="2" t="s">
        <v>121</v>
      </c>
      <c r="E476" s="2" t="s">
        <v>916</v>
      </c>
      <c r="F476" s="3">
        <v>20.62</v>
      </c>
    </row>
    <row r="477" spans="1:6" ht="15" customHeight="1" x14ac:dyDescent="0.25">
      <c r="A477" s="2" t="s">
        <v>64</v>
      </c>
      <c r="B477" s="2" t="s">
        <v>342</v>
      </c>
      <c r="C477" s="2" t="s">
        <v>486</v>
      </c>
      <c r="D477" s="2" t="s">
        <v>158</v>
      </c>
      <c r="E477" s="2" t="s">
        <v>897</v>
      </c>
      <c r="F477" s="3">
        <v>-1.1499999999999999</v>
      </c>
    </row>
    <row r="478" spans="1:6" ht="15" customHeight="1" x14ac:dyDescent="0.25">
      <c r="A478" s="2" t="s">
        <v>64</v>
      </c>
      <c r="B478" s="2" t="s">
        <v>342</v>
      </c>
      <c r="C478" s="2" t="s">
        <v>484</v>
      </c>
      <c r="D478" s="2" t="s">
        <v>158</v>
      </c>
      <c r="E478" s="2" t="s">
        <v>917</v>
      </c>
      <c r="F478" s="3">
        <v>7.67</v>
      </c>
    </row>
    <row r="479" spans="1:6" ht="15" customHeight="1" x14ac:dyDescent="0.25">
      <c r="A479" s="2" t="s">
        <v>64</v>
      </c>
      <c r="B479" s="2" t="s">
        <v>342</v>
      </c>
      <c r="C479" s="2" t="s">
        <v>484</v>
      </c>
      <c r="D479" s="2" t="s">
        <v>160</v>
      </c>
      <c r="E479" s="2" t="s">
        <v>918</v>
      </c>
      <c r="F479" s="3">
        <v>3.71</v>
      </c>
    </row>
    <row r="480" spans="1:6" ht="15" customHeight="1" x14ac:dyDescent="0.25">
      <c r="A480" s="2" t="s">
        <v>64</v>
      </c>
      <c r="B480" s="2" t="s">
        <v>342</v>
      </c>
      <c r="C480" s="2" t="s">
        <v>486</v>
      </c>
      <c r="D480" s="2" t="s">
        <v>160</v>
      </c>
      <c r="E480" s="2" t="s">
        <v>919</v>
      </c>
      <c r="F480" s="3">
        <v>-0.55000000000000004</v>
      </c>
    </row>
    <row r="481" spans="1:6" ht="15" customHeight="1" x14ac:dyDescent="0.25">
      <c r="A481" s="2" t="s">
        <v>64</v>
      </c>
      <c r="B481" s="2" t="s">
        <v>342</v>
      </c>
      <c r="C481" s="2" t="s">
        <v>486</v>
      </c>
      <c r="D481" s="2" t="s">
        <v>125</v>
      </c>
      <c r="E481" s="2" t="s">
        <v>885</v>
      </c>
      <c r="F481" s="3">
        <v>-0.96</v>
      </c>
    </row>
    <row r="482" spans="1:6" ht="15" customHeight="1" x14ac:dyDescent="0.25">
      <c r="A482" s="2" t="s">
        <v>64</v>
      </c>
      <c r="B482" s="2" t="s">
        <v>342</v>
      </c>
      <c r="C482" s="2" t="s">
        <v>484</v>
      </c>
      <c r="D482" s="2" t="s">
        <v>125</v>
      </c>
      <c r="E482" s="2" t="s">
        <v>920</v>
      </c>
      <c r="F482" s="3">
        <v>6.42</v>
      </c>
    </row>
    <row r="483" spans="1:6" ht="15" customHeight="1" x14ac:dyDescent="0.25">
      <c r="A483" s="2" t="s">
        <v>66</v>
      </c>
      <c r="B483" s="2" t="s">
        <v>921</v>
      </c>
      <c r="C483" s="2" t="s">
        <v>486</v>
      </c>
      <c r="D483" s="2" t="s">
        <v>168</v>
      </c>
      <c r="E483" s="2" t="s">
        <v>518</v>
      </c>
      <c r="F483" s="3">
        <v>-0.04</v>
      </c>
    </row>
    <row r="484" spans="1:6" ht="15" customHeight="1" x14ac:dyDescent="0.25">
      <c r="A484" s="2" t="s">
        <v>66</v>
      </c>
      <c r="B484" s="2" t="s">
        <v>921</v>
      </c>
      <c r="C484" s="2" t="s">
        <v>486</v>
      </c>
      <c r="D484" s="2" t="s">
        <v>129</v>
      </c>
      <c r="E484" s="2" t="s">
        <v>922</v>
      </c>
      <c r="F484" s="3">
        <v>-1.54</v>
      </c>
    </row>
    <row r="485" spans="1:6" ht="15" customHeight="1" x14ac:dyDescent="0.25">
      <c r="A485" s="2" t="s">
        <v>66</v>
      </c>
      <c r="B485" s="2" t="s">
        <v>921</v>
      </c>
      <c r="C485" s="2" t="s">
        <v>484</v>
      </c>
      <c r="D485" s="2" t="s">
        <v>168</v>
      </c>
      <c r="E485" s="2" t="s">
        <v>923</v>
      </c>
      <c r="F485" s="3">
        <v>0.31</v>
      </c>
    </row>
    <row r="486" spans="1:6" ht="15" customHeight="1" x14ac:dyDescent="0.25">
      <c r="A486" s="2" t="s">
        <v>66</v>
      </c>
      <c r="B486" s="2" t="s">
        <v>921</v>
      </c>
      <c r="C486" s="2" t="s">
        <v>484</v>
      </c>
      <c r="D486" s="2" t="s">
        <v>129</v>
      </c>
      <c r="E486" s="2" t="s">
        <v>924</v>
      </c>
      <c r="F486" s="3">
        <v>10.29</v>
      </c>
    </row>
    <row r="487" spans="1:6" ht="15" customHeight="1" x14ac:dyDescent="0.25">
      <c r="A487" s="2" t="s">
        <v>66</v>
      </c>
      <c r="B487" s="2" t="s">
        <v>925</v>
      </c>
      <c r="C487" s="2" t="s">
        <v>486</v>
      </c>
      <c r="D487" s="2" t="s">
        <v>115</v>
      </c>
      <c r="E487" s="2" t="s">
        <v>753</v>
      </c>
      <c r="F487" s="3">
        <v>-3.19</v>
      </c>
    </row>
    <row r="488" spans="1:6" ht="15" customHeight="1" x14ac:dyDescent="0.25">
      <c r="A488" s="2" t="s">
        <v>66</v>
      </c>
      <c r="B488" s="2" t="s">
        <v>925</v>
      </c>
      <c r="C488" s="2" t="s">
        <v>486</v>
      </c>
      <c r="D488" s="2" t="s">
        <v>119</v>
      </c>
      <c r="E488" s="2" t="s">
        <v>926</v>
      </c>
      <c r="F488" s="3">
        <v>-2.17</v>
      </c>
    </row>
    <row r="489" spans="1:6" ht="15" customHeight="1" x14ac:dyDescent="0.25">
      <c r="A489" s="2" t="s">
        <v>66</v>
      </c>
      <c r="B489" s="2" t="s">
        <v>925</v>
      </c>
      <c r="C489" s="2" t="s">
        <v>486</v>
      </c>
      <c r="D489" s="2" t="s">
        <v>162</v>
      </c>
      <c r="E489" s="2" t="s">
        <v>906</v>
      </c>
      <c r="F489" s="3">
        <v>-0.49</v>
      </c>
    </row>
    <row r="490" spans="1:6" ht="15" customHeight="1" x14ac:dyDescent="0.25">
      <c r="A490" s="2" t="s">
        <v>66</v>
      </c>
      <c r="B490" s="2" t="s">
        <v>925</v>
      </c>
      <c r="C490" s="2" t="s">
        <v>486</v>
      </c>
      <c r="D490" s="2" t="s">
        <v>166</v>
      </c>
      <c r="E490" s="2" t="s">
        <v>927</v>
      </c>
      <c r="F490" s="3">
        <v>-0.19</v>
      </c>
    </row>
    <row r="491" spans="1:6" ht="15" customHeight="1" x14ac:dyDescent="0.25">
      <c r="A491" s="2" t="s">
        <v>66</v>
      </c>
      <c r="B491" s="2" t="s">
        <v>925</v>
      </c>
      <c r="C491" s="2" t="s">
        <v>486</v>
      </c>
      <c r="D491" s="2" t="s">
        <v>127</v>
      </c>
      <c r="E491" s="2" t="s">
        <v>928</v>
      </c>
      <c r="F491" s="3">
        <v>-1.52</v>
      </c>
    </row>
    <row r="492" spans="1:6" ht="15" customHeight="1" x14ac:dyDescent="0.25">
      <c r="A492" s="2" t="s">
        <v>66</v>
      </c>
      <c r="B492" s="2" t="s">
        <v>925</v>
      </c>
      <c r="C492" s="2" t="s">
        <v>484</v>
      </c>
      <c r="D492" s="2" t="s">
        <v>115</v>
      </c>
      <c r="E492" s="2" t="s">
        <v>929</v>
      </c>
      <c r="F492" s="3">
        <v>21.27</v>
      </c>
    </row>
    <row r="493" spans="1:6" ht="15" customHeight="1" x14ac:dyDescent="0.25">
      <c r="A493" s="2" t="s">
        <v>66</v>
      </c>
      <c r="B493" s="2" t="s">
        <v>925</v>
      </c>
      <c r="C493" s="2" t="s">
        <v>484</v>
      </c>
      <c r="D493" s="2" t="s">
        <v>119</v>
      </c>
      <c r="E493" s="2" t="s">
        <v>930</v>
      </c>
      <c r="F493" s="3">
        <v>14.51</v>
      </c>
    </row>
    <row r="494" spans="1:6" ht="15" customHeight="1" x14ac:dyDescent="0.25">
      <c r="A494" s="2" t="s">
        <v>66</v>
      </c>
      <c r="B494" s="2" t="s">
        <v>925</v>
      </c>
      <c r="C494" s="2" t="s">
        <v>484</v>
      </c>
      <c r="D494" s="2" t="s">
        <v>162</v>
      </c>
      <c r="E494" s="2" t="s">
        <v>931</v>
      </c>
      <c r="F494" s="3">
        <v>3.31</v>
      </c>
    </row>
    <row r="495" spans="1:6" ht="15" customHeight="1" x14ac:dyDescent="0.25">
      <c r="A495" s="2" t="s">
        <v>66</v>
      </c>
      <c r="B495" s="2" t="s">
        <v>925</v>
      </c>
      <c r="C495" s="2" t="s">
        <v>484</v>
      </c>
      <c r="D495" s="2" t="s">
        <v>166</v>
      </c>
      <c r="E495" s="2" t="s">
        <v>932</v>
      </c>
      <c r="F495" s="3">
        <v>1.3</v>
      </c>
    </row>
    <row r="496" spans="1:6" ht="15" customHeight="1" x14ac:dyDescent="0.25">
      <c r="A496" s="2" t="s">
        <v>66</v>
      </c>
      <c r="B496" s="2" t="s">
        <v>925</v>
      </c>
      <c r="C496" s="2" t="s">
        <v>484</v>
      </c>
      <c r="D496" s="2" t="s">
        <v>127</v>
      </c>
      <c r="E496" s="2" t="s">
        <v>933</v>
      </c>
      <c r="F496" s="3">
        <v>10.17</v>
      </c>
    </row>
    <row r="497" spans="1:6" ht="15" customHeight="1" x14ac:dyDescent="0.25">
      <c r="A497" s="2" t="s">
        <v>66</v>
      </c>
      <c r="B497" s="2" t="s">
        <v>934</v>
      </c>
      <c r="C497" s="2" t="s">
        <v>486</v>
      </c>
      <c r="D497" s="2" t="s">
        <v>140</v>
      </c>
      <c r="E497" s="2" t="s">
        <v>935</v>
      </c>
      <c r="F497" s="3">
        <v>-10.86</v>
      </c>
    </row>
    <row r="498" spans="1:6" ht="15" customHeight="1" x14ac:dyDescent="0.25">
      <c r="A498" s="2" t="s">
        <v>66</v>
      </c>
      <c r="B498" s="2" t="s">
        <v>934</v>
      </c>
      <c r="C498" s="2" t="s">
        <v>486</v>
      </c>
      <c r="D498" s="2" t="s">
        <v>143</v>
      </c>
      <c r="E498" s="2" t="s">
        <v>936</v>
      </c>
      <c r="F498" s="3">
        <v>-1.21</v>
      </c>
    </row>
    <row r="499" spans="1:6" ht="15" customHeight="1" x14ac:dyDescent="0.25">
      <c r="A499" s="2" t="s">
        <v>66</v>
      </c>
      <c r="B499" s="2" t="s">
        <v>934</v>
      </c>
      <c r="C499" s="2" t="s">
        <v>486</v>
      </c>
      <c r="D499" s="2" t="s">
        <v>164</v>
      </c>
      <c r="E499" s="2" t="s">
        <v>937</v>
      </c>
      <c r="F499" s="3">
        <v>-0.6</v>
      </c>
    </row>
    <row r="500" spans="1:6" ht="15" customHeight="1" x14ac:dyDescent="0.25">
      <c r="A500" s="2" t="s">
        <v>66</v>
      </c>
      <c r="B500" s="2" t="s">
        <v>934</v>
      </c>
      <c r="C500" s="2" t="s">
        <v>484</v>
      </c>
      <c r="D500" s="2" t="s">
        <v>140</v>
      </c>
      <c r="E500" s="2" t="s">
        <v>938</v>
      </c>
      <c r="F500" s="3">
        <v>72.41</v>
      </c>
    </row>
    <row r="501" spans="1:6" ht="15" customHeight="1" x14ac:dyDescent="0.25">
      <c r="A501" s="2" t="s">
        <v>66</v>
      </c>
      <c r="B501" s="2" t="s">
        <v>934</v>
      </c>
      <c r="C501" s="2" t="s">
        <v>484</v>
      </c>
      <c r="D501" s="2" t="s">
        <v>143</v>
      </c>
      <c r="E501" s="2" t="s">
        <v>939</v>
      </c>
      <c r="F501" s="3">
        <v>8.11</v>
      </c>
    </row>
    <row r="502" spans="1:6" ht="15" customHeight="1" x14ac:dyDescent="0.25">
      <c r="A502" s="2" t="s">
        <v>66</v>
      </c>
      <c r="B502" s="2" t="s">
        <v>934</v>
      </c>
      <c r="C502" s="2" t="s">
        <v>484</v>
      </c>
      <c r="D502" s="2" t="s">
        <v>164</v>
      </c>
      <c r="E502" s="2" t="s">
        <v>940</v>
      </c>
      <c r="F502" s="3">
        <v>4.05</v>
      </c>
    </row>
    <row r="503" spans="1:6" ht="15" customHeight="1" x14ac:dyDescent="0.25">
      <c r="A503" s="2" t="s">
        <v>66</v>
      </c>
      <c r="B503" s="2" t="s">
        <v>941</v>
      </c>
      <c r="C503" s="2" t="s">
        <v>486</v>
      </c>
      <c r="D503" s="2" t="s">
        <v>179</v>
      </c>
      <c r="E503" s="2" t="s">
        <v>942</v>
      </c>
      <c r="F503" s="3">
        <v>-0.45</v>
      </c>
    </row>
    <row r="504" spans="1:6" ht="15" customHeight="1" x14ac:dyDescent="0.25">
      <c r="A504" s="2" t="s">
        <v>66</v>
      </c>
      <c r="B504" s="2" t="s">
        <v>941</v>
      </c>
      <c r="C504" s="2" t="s">
        <v>484</v>
      </c>
      <c r="D504" s="2" t="s">
        <v>179</v>
      </c>
      <c r="E504" s="2" t="s">
        <v>943</v>
      </c>
      <c r="F504" s="3">
        <v>3</v>
      </c>
    </row>
    <row r="505" spans="1:6" ht="15" customHeight="1" x14ac:dyDescent="0.25">
      <c r="A505" s="2" t="s">
        <v>66</v>
      </c>
      <c r="B505" s="2" t="s">
        <v>944</v>
      </c>
      <c r="C505" s="2" t="s">
        <v>486</v>
      </c>
      <c r="D505" s="2" t="s">
        <v>152</v>
      </c>
      <c r="E505" s="2" t="s">
        <v>945</v>
      </c>
      <c r="F505" s="3">
        <v>-9.74</v>
      </c>
    </row>
    <row r="506" spans="1:6" ht="15" customHeight="1" x14ac:dyDescent="0.25">
      <c r="A506" s="2" t="s">
        <v>66</v>
      </c>
      <c r="B506" s="2" t="s">
        <v>944</v>
      </c>
      <c r="C506" s="2" t="s">
        <v>484</v>
      </c>
      <c r="D506" s="2" t="s">
        <v>152</v>
      </c>
      <c r="E506" s="2" t="s">
        <v>946</v>
      </c>
      <c r="F506" s="3">
        <v>64.959999999999994</v>
      </c>
    </row>
    <row r="507" spans="1:6" ht="15" customHeight="1" x14ac:dyDescent="0.25">
      <c r="A507" s="2" t="s">
        <v>66</v>
      </c>
      <c r="B507" s="2" t="s">
        <v>944</v>
      </c>
      <c r="C507" s="2" t="s">
        <v>486</v>
      </c>
      <c r="D507" s="2" t="s">
        <v>154</v>
      </c>
      <c r="E507" s="2" t="s">
        <v>675</v>
      </c>
      <c r="F507" s="3">
        <v>-0.1</v>
      </c>
    </row>
    <row r="508" spans="1:6" ht="15" customHeight="1" x14ac:dyDescent="0.25">
      <c r="A508" s="2" t="s">
        <v>66</v>
      </c>
      <c r="B508" s="2" t="s">
        <v>944</v>
      </c>
      <c r="C508" s="2" t="s">
        <v>484</v>
      </c>
      <c r="D508" s="2" t="s">
        <v>154</v>
      </c>
      <c r="E508" s="2" t="s">
        <v>947</v>
      </c>
      <c r="F508" s="3">
        <v>0.72</v>
      </c>
    </row>
    <row r="509" spans="1:6" ht="15" customHeight="1" x14ac:dyDescent="0.25">
      <c r="A509" s="2" t="s">
        <v>66</v>
      </c>
      <c r="B509" s="2" t="s">
        <v>944</v>
      </c>
      <c r="C509" s="2" t="s">
        <v>486</v>
      </c>
      <c r="D509" s="2" t="s">
        <v>164</v>
      </c>
      <c r="E509" s="2" t="s">
        <v>948</v>
      </c>
      <c r="F509" s="3">
        <v>-0.46</v>
      </c>
    </row>
    <row r="510" spans="1:6" ht="15" customHeight="1" x14ac:dyDescent="0.25">
      <c r="A510" s="2" t="s">
        <v>66</v>
      </c>
      <c r="B510" s="2" t="s">
        <v>944</v>
      </c>
      <c r="C510" s="2" t="s">
        <v>484</v>
      </c>
      <c r="D510" s="2" t="s">
        <v>164</v>
      </c>
      <c r="E510" s="2" t="s">
        <v>949</v>
      </c>
      <c r="F510" s="3">
        <v>3.13</v>
      </c>
    </row>
    <row r="511" spans="1:6" ht="15" customHeight="1" x14ac:dyDescent="0.25">
      <c r="A511" s="2" t="s">
        <v>66</v>
      </c>
      <c r="B511" s="2" t="s">
        <v>950</v>
      </c>
      <c r="C511" s="2" t="s">
        <v>486</v>
      </c>
      <c r="D511" s="2" t="s">
        <v>132</v>
      </c>
      <c r="E511" s="2" t="s">
        <v>951</v>
      </c>
      <c r="F511" s="3">
        <v>-3.6</v>
      </c>
    </row>
    <row r="512" spans="1:6" ht="15" customHeight="1" x14ac:dyDescent="0.25">
      <c r="A512" s="2" t="s">
        <v>66</v>
      </c>
      <c r="B512" s="2" t="s">
        <v>950</v>
      </c>
      <c r="C512" s="2" t="s">
        <v>486</v>
      </c>
      <c r="D512" s="2" t="s">
        <v>164</v>
      </c>
      <c r="E512" s="2" t="s">
        <v>952</v>
      </c>
      <c r="F512" s="3">
        <v>-0.75</v>
      </c>
    </row>
    <row r="513" spans="1:6" ht="15" customHeight="1" x14ac:dyDescent="0.25">
      <c r="A513" s="2" t="s">
        <v>66</v>
      </c>
      <c r="B513" s="2" t="s">
        <v>950</v>
      </c>
      <c r="C513" s="2" t="s">
        <v>484</v>
      </c>
      <c r="D513" s="2" t="s">
        <v>132</v>
      </c>
      <c r="E513" s="2" t="s">
        <v>953</v>
      </c>
      <c r="F513" s="3">
        <v>24.04</v>
      </c>
    </row>
    <row r="514" spans="1:6" ht="15" customHeight="1" x14ac:dyDescent="0.25">
      <c r="A514" s="2" t="s">
        <v>66</v>
      </c>
      <c r="B514" s="2" t="s">
        <v>950</v>
      </c>
      <c r="C514" s="2" t="s">
        <v>484</v>
      </c>
      <c r="D514" s="2" t="s">
        <v>164</v>
      </c>
      <c r="E514" s="2" t="s">
        <v>954</v>
      </c>
      <c r="F514" s="3">
        <v>5</v>
      </c>
    </row>
    <row r="515" spans="1:6" ht="15" customHeight="1" x14ac:dyDescent="0.25">
      <c r="A515" s="2" t="s">
        <v>66</v>
      </c>
      <c r="B515" s="2" t="s">
        <v>955</v>
      </c>
      <c r="C515" s="2" t="s">
        <v>486</v>
      </c>
      <c r="D515" s="2" t="s">
        <v>138</v>
      </c>
      <c r="E515" s="2" t="s">
        <v>647</v>
      </c>
      <c r="F515" s="3">
        <v>-0.28999999999999998</v>
      </c>
    </row>
    <row r="516" spans="1:6" ht="15" customHeight="1" x14ac:dyDescent="0.25">
      <c r="A516" s="2" t="s">
        <v>66</v>
      </c>
      <c r="B516" s="2" t="s">
        <v>955</v>
      </c>
      <c r="C516" s="2" t="s">
        <v>484</v>
      </c>
      <c r="D516" s="2" t="s">
        <v>138</v>
      </c>
      <c r="E516" s="2" t="s">
        <v>956</v>
      </c>
      <c r="F516" s="3">
        <v>1.95</v>
      </c>
    </row>
    <row r="517" spans="1:6" ht="15" customHeight="1" x14ac:dyDescent="0.25">
      <c r="A517" s="2" t="s">
        <v>66</v>
      </c>
      <c r="B517" s="2" t="s">
        <v>957</v>
      </c>
      <c r="C517" s="2" t="s">
        <v>486</v>
      </c>
      <c r="D517" s="2" t="s">
        <v>145</v>
      </c>
      <c r="E517" s="2" t="s">
        <v>958</v>
      </c>
      <c r="F517" s="3">
        <v>-8.44</v>
      </c>
    </row>
    <row r="518" spans="1:6" ht="15" customHeight="1" x14ac:dyDescent="0.25">
      <c r="A518" s="2" t="s">
        <v>66</v>
      </c>
      <c r="B518" s="2" t="s">
        <v>957</v>
      </c>
      <c r="C518" s="2" t="s">
        <v>484</v>
      </c>
      <c r="D518" s="2" t="s">
        <v>145</v>
      </c>
      <c r="E518" s="2" t="s">
        <v>959</v>
      </c>
      <c r="F518" s="3">
        <v>56.27</v>
      </c>
    </row>
    <row r="519" spans="1:6" ht="15" customHeight="1" x14ac:dyDescent="0.25">
      <c r="A519" s="2" t="s">
        <v>66</v>
      </c>
      <c r="B519" s="2" t="s">
        <v>957</v>
      </c>
      <c r="C519" s="2" t="s">
        <v>484</v>
      </c>
      <c r="D519" s="2" t="s">
        <v>125</v>
      </c>
      <c r="E519" s="2" t="s">
        <v>960</v>
      </c>
      <c r="F519" s="3">
        <v>6.42</v>
      </c>
    </row>
    <row r="520" spans="1:6" ht="15" customHeight="1" x14ac:dyDescent="0.25">
      <c r="A520" s="2" t="s">
        <v>66</v>
      </c>
      <c r="B520" s="2" t="s">
        <v>957</v>
      </c>
      <c r="C520" s="2" t="s">
        <v>486</v>
      </c>
      <c r="D520" s="2" t="s">
        <v>158</v>
      </c>
      <c r="E520" s="2" t="s">
        <v>961</v>
      </c>
      <c r="F520" s="3">
        <v>-0.85</v>
      </c>
    </row>
    <row r="521" spans="1:6" ht="15" customHeight="1" x14ac:dyDescent="0.25">
      <c r="A521" s="2" t="s">
        <v>66</v>
      </c>
      <c r="B521" s="2" t="s">
        <v>957</v>
      </c>
      <c r="C521" s="2" t="s">
        <v>486</v>
      </c>
      <c r="D521" s="2" t="s">
        <v>170</v>
      </c>
      <c r="E521" s="2" t="s">
        <v>962</v>
      </c>
      <c r="F521" s="3">
        <v>-0.17</v>
      </c>
    </row>
    <row r="522" spans="1:6" ht="15" customHeight="1" x14ac:dyDescent="0.25">
      <c r="A522" s="2" t="s">
        <v>66</v>
      </c>
      <c r="B522" s="2" t="s">
        <v>957</v>
      </c>
      <c r="C522" s="2" t="s">
        <v>486</v>
      </c>
      <c r="D522" s="2" t="s">
        <v>134</v>
      </c>
      <c r="E522" s="2" t="s">
        <v>963</v>
      </c>
      <c r="F522" s="3">
        <v>-1.27</v>
      </c>
    </row>
    <row r="523" spans="1:6" ht="15" customHeight="1" x14ac:dyDescent="0.25">
      <c r="A523" s="2" t="s">
        <v>66</v>
      </c>
      <c r="B523" s="2" t="s">
        <v>957</v>
      </c>
      <c r="C523" s="2" t="s">
        <v>486</v>
      </c>
      <c r="D523" s="2" t="s">
        <v>160</v>
      </c>
      <c r="E523" s="2" t="s">
        <v>964</v>
      </c>
      <c r="F523" s="3">
        <v>-0.63</v>
      </c>
    </row>
    <row r="524" spans="1:6" ht="15" customHeight="1" x14ac:dyDescent="0.25">
      <c r="A524" s="2" t="s">
        <v>66</v>
      </c>
      <c r="B524" s="2" t="s">
        <v>957</v>
      </c>
      <c r="C524" s="2" t="s">
        <v>486</v>
      </c>
      <c r="D524" s="2" t="s">
        <v>121</v>
      </c>
      <c r="E524" s="2" t="s">
        <v>965</v>
      </c>
      <c r="F524" s="3">
        <v>-3.53</v>
      </c>
    </row>
    <row r="525" spans="1:6" ht="15" customHeight="1" x14ac:dyDescent="0.25">
      <c r="A525" s="2" t="s">
        <v>66</v>
      </c>
      <c r="B525" s="2" t="s">
        <v>957</v>
      </c>
      <c r="C525" s="2" t="s">
        <v>486</v>
      </c>
      <c r="D525" s="2" t="s">
        <v>156</v>
      </c>
      <c r="E525" s="2" t="s">
        <v>966</v>
      </c>
      <c r="F525" s="3">
        <v>-2.35</v>
      </c>
    </row>
    <row r="526" spans="1:6" ht="15" customHeight="1" x14ac:dyDescent="0.25">
      <c r="A526" s="2" t="s">
        <v>66</v>
      </c>
      <c r="B526" s="2" t="s">
        <v>957</v>
      </c>
      <c r="C526" s="2" t="s">
        <v>486</v>
      </c>
      <c r="D526" s="2" t="s">
        <v>125</v>
      </c>
      <c r="E526" s="2" t="s">
        <v>885</v>
      </c>
      <c r="F526" s="3">
        <v>-0.96</v>
      </c>
    </row>
    <row r="527" spans="1:6" ht="15" customHeight="1" x14ac:dyDescent="0.25">
      <c r="A527" s="2" t="s">
        <v>66</v>
      </c>
      <c r="B527" s="2" t="s">
        <v>957</v>
      </c>
      <c r="C527" s="2" t="s">
        <v>486</v>
      </c>
      <c r="D527" s="2" t="s">
        <v>136</v>
      </c>
      <c r="E527" s="2" t="s">
        <v>967</v>
      </c>
      <c r="F527" s="3">
        <v>-0.68</v>
      </c>
    </row>
    <row r="528" spans="1:6" ht="15" customHeight="1" x14ac:dyDescent="0.25">
      <c r="A528" s="2" t="s">
        <v>66</v>
      </c>
      <c r="B528" s="2" t="s">
        <v>957</v>
      </c>
      <c r="C528" s="2" t="s">
        <v>486</v>
      </c>
      <c r="D528" s="2" t="s">
        <v>164</v>
      </c>
      <c r="E528" s="2" t="s">
        <v>900</v>
      </c>
      <c r="F528" s="3">
        <v>-0.53</v>
      </c>
    </row>
    <row r="529" spans="1:6" ht="15" customHeight="1" x14ac:dyDescent="0.25">
      <c r="A529" s="2" t="s">
        <v>66</v>
      </c>
      <c r="B529" s="2" t="s">
        <v>957</v>
      </c>
      <c r="C529" s="2" t="s">
        <v>484</v>
      </c>
      <c r="D529" s="2" t="s">
        <v>158</v>
      </c>
      <c r="E529" s="2" t="s">
        <v>968</v>
      </c>
      <c r="F529" s="3">
        <v>5.72</v>
      </c>
    </row>
    <row r="530" spans="1:6" ht="15" customHeight="1" x14ac:dyDescent="0.25">
      <c r="A530" s="2" t="s">
        <v>66</v>
      </c>
      <c r="B530" s="2" t="s">
        <v>957</v>
      </c>
      <c r="C530" s="2" t="s">
        <v>484</v>
      </c>
      <c r="D530" s="2" t="s">
        <v>170</v>
      </c>
      <c r="E530" s="2" t="s">
        <v>969</v>
      </c>
      <c r="F530" s="3">
        <v>1.1399999999999999</v>
      </c>
    </row>
    <row r="531" spans="1:6" ht="15" customHeight="1" x14ac:dyDescent="0.25">
      <c r="A531" s="2" t="s">
        <v>66</v>
      </c>
      <c r="B531" s="2" t="s">
        <v>957</v>
      </c>
      <c r="C531" s="2" t="s">
        <v>484</v>
      </c>
      <c r="D531" s="2" t="s">
        <v>134</v>
      </c>
      <c r="E531" s="2" t="s">
        <v>970</v>
      </c>
      <c r="F531" s="3">
        <v>8.51</v>
      </c>
    </row>
    <row r="532" spans="1:6" ht="15" customHeight="1" x14ac:dyDescent="0.25">
      <c r="A532" s="2" t="s">
        <v>66</v>
      </c>
      <c r="B532" s="2" t="s">
        <v>957</v>
      </c>
      <c r="C532" s="2" t="s">
        <v>484</v>
      </c>
      <c r="D532" s="2" t="s">
        <v>160</v>
      </c>
      <c r="E532" s="2" t="s">
        <v>971</v>
      </c>
      <c r="F532" s="3">
        <v>4.25</v>
      </c>
    </row>
    <row r="533" spans="1:6" ht="15" customHeight="1" x14ac:dyDescent="0.25">
      <c r="A533" s="2" t="s">
        <v>66</v>
      </c>
      <c r="B533" s="2" t="s">
        <v>957</v>
      </c>
      <c r="C533" s="2" t="s">
        <v>484</v>
      </c>
      <c r="D533" s="2" t="s">
        <v>121</v>
      </c>
      <c r="E533" s="2" t="s">
        <v>972</v>
      </c>
      <c r="F533" s="3">
        <v>23.57</v>
      </c>
    </row>
    <row r="534" spans="1:6" ht="15" customHeight="1" x14ac:dyDescent="0.25">
      <c r="A534" s="2" t="s">
        <v>66</v>
      </c>
      <c r="B534" s="2" t="s">
        <v>957</v>
      </c>
      <c r="C534" s="2" t="s">
        <v>484</v>
      </c>
      <c r="D534" s="2" t="s">
        <v>156</v>
      </c>
      <c r="E534" s="2" t="s">
        <v>973</v>
      </c>
      <c r="F534" s="3">
        <v>15.7</v>
      </c>
    </row>
    <row r="535" spans="1:6" ht="15" customHeight="1" x14ac:dyDescent="0.25">
      <c r="A535" s="2" t="s">
        <v>66</v>
      </c>
      <c r="B535" s="2" t="s">
        <v>957</v>
      </c>
      <c r="C535" s="2" t="s">
        <v>484</v>
      </c>
      <c r="D535" s="2" t="s">
        <v>136</v>
      </c>
      <c r="E535" s="2" t="s">
        <v>974</v>
      </c>
      <c r="F535" s="3">
        <v>4.57</v>
      </c>
    </row>
    <row r="536" spans="1:6" ht="15" customHeight="1" x14ac:dyDescent="0.25">
      <c r="A536" s="2" t="s">
        <v>66</v>
      </c>
      <c r="B536" s="2" t="s">
        <v>957</v>
      </c>
      <c r="C536" s="2" t="s">
        <v>484</v>
      </c>
      <c r="D536" s="2" t="s">
        <v>164</v>
      </c>
      <c r="E536" s="2" t="s">
        <v>975</v>
      </c>
      <c r="F536" s="3">
        <v>3.58</v>
      </c>
    </row>
    <row r="537" spans="1:6" ht="15" customHeight="1" x14ac:dyDescent="0.25">
      <c r="A537" s="2" t="s">
        <v>68</v>
      </c>
      <c r="B537" s="2" t="s">
        <v>349</v>
      </c>
      <c r="C537" s="2" t="s">
        <v>486</v>
      </c>
      <c r="D537" s="2" t="s">
        <v>117</v>
      </c>
      <c r="E537" s="2" t="s">
        <v>976</v>
      </c>
      <c r="F537" s="3">
        <v>-0.93</v>
      </c>
    </row>
    <row r="538" spans="1:6" ht="15" customHeight="1" x14ac:dyDescent="0.25">
      <c r="A538" s="2" t="s">
        <v>68</v>
      </c>
      <c r="B538" s="2" t="s">
        <v>349</v>
      </c>
      <c r="C538" s="2" t="s">
        <v>486</v>
      </c>
      <c r="D538" s="2" t="s">
        <v>123</v>
      </c>
      <c r="E538" s="2" t="s">
        <v>977</v>
      </c>
      <c r="F538" s="3">
        <v>-0.48</v>
      </c>
    </row>
    <row r="539" spans="1:6" ht="15" customHeight="1" x14ac:dyDescent="0.25">
      <c r="A539" s="2" t="s">
        <v>68</v>
      </c>
      <c r="B539" s="2" t="s">
        <v>349</v>
      </c>
      <c r="C539" s="2" t="s">
        <v>484</v>
      </c>
      <c r="D539" s="2" t="s">
        <v>117</v>
      </c>
      <c r="E539" s="2" t="s">
        <v>978</v>
      </c>
      <c r="F539" s="3">
        <v>6.2</v>
      </c>
    </row>
    <row r="540" spans="1:6" ht="15" customHeight="1" x14ac:dyDescent="0.25">
      <c r="A540" s="2" t="s">
        <v>68</v>
      </c>
      <c r="B540" s="2" t="s">
        <v>349</v>
      </c>
      <c r="C540" s="2" t="s">
        <v>484</v>
      </c>
      <c r="D540" s="2" t="s">
        <v>123</v>
      </c>
      <c r="E540" s="2" t="s">
        <v>979</v>
      </c>
      <c r="F540" s="3">
        <v>3.2</v>
      </c>
    </row>
    <row r="541" spans="1:6" ht="15" customHeight="1" x14ac:dyDescent="0.25">
      <c r="A541" s="2" t="s">
        <v>68</v>
      </c>
      <c r="B541" s="2" t="s">
        <v>980</v>
      </c>
      <c r="C541" s="2" t="s">
        <v>486</v>
      </c>
      <c r="D541" s="2" t="s">
        <v>129</v>
      </c>
      <c r="E541" s="2" t="s">
        <v>981</v>
      </c>
      <c r="F541" s="3">
        <v>-1.51</v>
      </c>
    </row>
    <row r="542" spans="1:6" ht="15" customHeight="1" x14ac:dyDescent="0.25">
      <c r="A542" s="2" t="s">
        <v>68</v>
      </c>
      <c r="B542" s="2" t="s">
        <v>980</v>
      </c>
      <c r="C542" s="2" t="s">
        <v>484</v>
      </c>
      <c r="D542" s="2" t="s">
        <v>129</v>
      </c>
      <c r="E542" s="2" t="s">
        <v>982</v>
      </c>
      <c r="F542" s="3">
        <v>10.1</v>
      </c>
    </row>
    <row r="543" spans="1:6" ht="15" customHeight="1" x14ac:dyDescent="0.25">
      <c r="A543" s="2" t="s">
        <v>68</v>
      </c>
      <c r="B543" s="2" t="s">
        <v>350</v>
      </c>
      <c r="C543" s="2" t="s">
        <v>486</v>
      </c>
      <c r="D543" s="2" t="s">
        <v>166</v>
      </c>
      <c r="E543" s="2" t="s">
        <v>983</v>
      </c>
      <c r="F543" s="3">
        <v>-0.18</v>
      </c>
    </row>
    <row r="544" spans="1:6" ht="15" customHeight="1" x14ac:dyDescent="0.25">
      <c r="A544" s="2" t="s">
        <v>68</v>
      </c>
      <c r="B544" s="2" t="s">
        <v>350</v>
      </c>
      <c r="C544" s="2" t="s">
        <v>486</v>
      </c>
      <c r="D544" s="2" t="s">
        <v>127</v>
      </c>
      <c r="E544" s="2" t="s">
        <v>984</v>
      </c>
      <c r="F544" s="3">
        <v>-1.51</v>
      </c>
    </row>
    <row r="545" spans="1:6" ht="15" customHeight="1" x14ac:dyDescent="0.25">
      <c r="A545" s="2" t="s">
        <v>68</v>
      </c>
      <c r="B545" s="2" t="s">
        <v>350</v>
      </c>
      <c r="C545" s="2" t="s">
        <v>486</v>
      </c>
      <c r="D545" s="2" t="s">
        <v>115</v>
      </c>
      <c r="E545" s="2" t="s">
        <v>985</v>
      </c>
      <c r="F545" s="3">
        <v>-2.97</v>
      </c>
    </row>
    <row r="546" spans="1:6" ht="15" customHeight="1" x14ac:dyDescent="0.25">
      <c r="A546" s="2" t="s">
        <v>68</v>
      </c>
      <c r="B546" s="2" t="s">
        <v>350</v>
      </c>
      <c r="C546" s="2" t="s">
        <v>486</v>
      </c>
      <c r="D546" s="2" t="s">
        <v>119</v>
      </c>
      <c r="E546" s="2" t="s">
        <v>986</v>
      </c>
      <c r="F546" s="3">
        <v>-2.0099999999999998</v>
      </c>
    </row>
    <row r="547" spans="1:6" ht="15" customHeight="1" x14ac:dyDescent="0.25">
      <c r="A547" s="2" t="s">
        <v>68</v>
      </c>
      <c r="B547" s="2" t="s">
        <v>350</v>
      </c>
      <c r="C547" s="2" t="s">
        <v>486</v>
      </c>
      <c r="D547" s="2" t="s">
        <v>162</v>
      </c>
      <c r="E547" s="2" t="s">
        <v>987</v>
      </c>
      <c r="F547" s="3">
        <v>-0.62</v>
      </c>
    </row>
    <row r="548" spans="1:6" ht="15" customHeight="1" x14ac:dyDescent="0.25">
      <c r="A548" s="2" t="s">
        <v>68</v>
      </c>
      <c r="B548" s="2" t="s">
        <v>350</v>
      </c>
      <c r="C548" s="2" t="s">
        <v>484</v>
      </c>
      <c r="D548" s="2" t="s">
        <v>166</v>
      </c>
      <c r="E548" s="2" t="s">
        <v>988</v>
      </c>
      <c r="F548" s="3">
        <v>1.23</v>
      </c>
    </row>
    <row r="549" spans="1:6" ht="15" customHeight="1" x14ac:dyDescent="0.25">
      <c r="A549" s="2" t="s">
        <v>68</v>
      </c>
      <c r="B549" s="2" t="s">
        <v>350</v>
      </c>
      <c r="C549" s="2" t="s">
        <v>484</v>
      </c>
      <c r="D549" s="2" t="s">
        <v>127</v>
      </c>
      <c r="E549" s="2" t="s">
        <v>989</v>
      </c>
      <c r="F549" s="3">
        <v>10.130000000000001</v>
      </c>
    </row>
    <row r="550" spans="1:6" ht="15" customHeight="1" x14ac:dyDescent="0.25">
      <c r="A550" s="2" t="s">
        <v>68</v>
      </c>
      <c r="B550" s="2" t="s">
        <v>350</v>
      </c>
      <c r="C550" s="2" t="s">
        <v>484</v>
      </c>
      <c r="D550" s="2" t="s">
        <v>115</v>
      </c>
      <c r="E550" s="2" t="s">
        <v>990</v>
      </c>
      <c r="F550" s="3">
        <v>19.829999999999998</v>
      </c>
    </row>
    <row r="551" spans="1:6" ht="15" customHeight="1" x14ac:dyDescent="0.25">
      <c r="A551" s="2" t="s">
        <v>68</v>
      </c>
      <c r="B551" s="2" t="s">
        <v>350</v>
      </c>
      <c r="C551" s="2" t="s">
        <v>484</v>
      </c>
      <c r="D551" s="2" t="s">
        <v>119</v>
      </c>
      <c r="E551" s="2" t="s">
        <v>991</v>
      </c>
      <c r="F551" s="3">
        <v>13.43</v>
      </c>
    </row>
    <row r="552" spans="1:6" ht="15" customHeight="1" x14ac:dyDescent="0.25">
      <c r="A552" s="2" t="s">
        <v>68</v>
      </c>
      <c r="B552" s="2" t="s">
        <v>350</v>
      </c>
      <c r="C552" s="2" t="s">
        <v>484</v>
      </c>
      <c r="D552" s="2" t="s">
        <v>162</v>
      </c>
      <c r="E552" s="2" t="s">
        <v>992</v>
      </c>
      <c r="F552" s="3">
        <v>4.1900000000000004</v>
      </c>
    </row>
    <row r="553" spans="1:6" ht="15" customHeight="1" x14ac:dyDescent="0.25">
      <c r="A553" s="2" t="s">
        <v>68</v>
      </c>
      <c r="B553" s="2" t="s">
        <v>351</v>
      </c>
      <c r="C553" s="2" t="s">
        <v>486</v>
      </c>
      <c r="D553" s="2" t="s">
        <v>140</v>
      </c>
      <c r="E553" s="2" t="s">
        <v>993</v>
      </c>
      <c r="F553" s="3">
        <v>-7.14</v>
      </c>
    </row>
    <row r="554" spans="1:6" ht="15" customHeight="1" x14ac:dyDescent="0.25">
      <c r="A554" s="2" t="s">
        <v>68</v>
      </c>
      <c r="B554" s="2" t="s">
        <v>351</v>
      </c>
      <c r="C554" s="2" t="s">
        <v>486</v>
      </c>
      <c r="D554" s="2" t="s">
        <v>143</v>
      </c>
      <c r="E554" s="2" t="s">
        <v>994</v>
      </c>
      <c r="F554" s="3">
        <v>-1.48</v>
      </c>
    </row>
    <row r="555" spans="1:6" ht="15" customHeight="1" x14ac:dyDescent="0.25">
      <c r="A555" s="2" t="s">
        <v>68</v>
      </c>
      <c r="B555" s="2" t="s">
        <v>351</v>
      </c>
      <c r="C555" s="2" t="s">
        <v>486</v>
      </c>
      <c r="D555" s="2" t="s">
        <v>164</v>
      </c>
      <c r="E555" s="2" t="s">
        <v>995</v>
      </c>
      <c r="F555" s="3">
        <v>-0.97</v>
      </c>
    </row>
    <row r="556" spans="1:6" ht="15" customHeight="1" x14ac:dyDescent="0.25">
      <c r="A556" s="2" t="s">
        <v>68</v>
      </c>
      <c r="B556" s="2" t="s">
        <v>351</v>
      </c>
      <c r="C556" s="2" t="s">
        <v>484</v>
      </c>
      <c r="D556" s="2" t="s">
        <v>140</v>
      </c>
      <c r="E556" s="2" t="s">
        <v>996</v>
      </c>
      <c r="F556" s="3">
        <v>47.61</v>
      </c>
    </row>
    <row r="557" spans="1:6" ht="15" customHeight="1" x14ac:dyDescent="0.25">
      <c r="A557" s="2" t="s">
        <v>68</v>
      </c>
      <c r="B557" s="2" t="s">
        <v>351</v>
      </c>
      <c r="C557" s="2" t="s">
        <v>484</v>
      </c>
      <c r="D557" s="2" t="s">
        <v>143</v>
      </c>
      <c r="E557" s="2" t="s">
        <v>997</v>
      </c>
      <c r="F557" s="3">
        <v>9.8800000000000008</v>
      </c>
    </row>
    <row r="558" spans="1:6" ht="15" customHeight="1" x14ac:dyDescent="0.25">
      <c r="A558" s="2" t="s">
        <v>68</v>
      </c>
      <c r="B558" s="2" t="s">
        <v>351</v>
      </c>
      <c r="C558" s="2" t="s">
        <v>484</v>
      </c>
      <c r="D558" s="2" t="s">
        <v>164</v>
      </c>
      <c r="E558" s="2" t="s">
        <v>998</v>
      </c>
      <c r="F558" s="3">
        <v>6.49</v>
      </c>
    </row>
    <row r="559" spans="1:6" ht="15" customHeight="1" x14ac:dyDescent="0.25">
      <c r="A559" s="2" t="s">
        <v>68</v>
      </c>
      <c r="B559" s="2" t="s">
        <v>999</v>
      </c>
      <c r="C559" s="2" t="s">
        <v>486</v>
      </c>
      <c r="D559" s="2" t="s">
        <v>179</v>
      </c>
      <c r="E559" s="2" t="s">
        <v>809</v>
      </c>
      <c r="F559" s="3">
        <v>-0.67</v>
      </c>
    </row>
    <row r="560" spans="1:6" ht="15" customHeight="1" x14ac:dyDescent="0.25">
      <c r="A560" s="2" t="s">
        <v>68</v>
      </c>
      <c r="B560" s="2" t="s">
        <v>999</v>
      </c>
      <c r="C560" s="2" t="s">
        <v>484</v>
      </c>
      <c r="D560" s="2" t="s">
        <v>179</v>
      </c>
      <c r="E560" s="2" t="s">
        <v>1000</v>
      </c>
      <c r="F560" s="3">
        <v>4.5</v>
      </c>
    </row>
    <row r="561" spans="1:6" ht="15" customHeight="1" x14ac:dyDescent="0.25">
      <c r="A561" s="2" t="s">
        <v>68</v>
      </c>
      <c r="B561" s="2" t="s">
        <v>1001</v>
      </c>
      <c r="C561" s="2" t="s">
        <v>486</v>
      </c>
      <c r="D561" s="2" t="s">
        <v>152</v>
      </c>
      <c r="E561" s="2" t="s">
        <v>1002</v>
      </c>
      <c r="F561" s="3">
        <v>-7.32</v>
      </c>
    </row>
    <row r="562" spans="1:6" ht="15" customHeight="1" x14ac:dyDescent="0.25">
      <c r="A562" s="2" t="s">
        <v>68</v>
      </c>
      <c r="B562" s="2" t="s">
        <v>1001</v>
      </c>
      <c r="C562" s="2" t="s">
        <v>484</v>
      </c>
      <c r="D562" s="2" t="s">
        <v>152</v>
      </c>
      <c r="E562" s="2" t="s">
        <v>1003</v>
      </c>
      <c r="F562" s="3">
        <v>48.84</v>
      </c>
    </row>
    <row r="563" spans="1:6" ht="15" customHeight="1" x14ac:dyDescent="0.25">
      <c r="A563" s="2" t="s">
        <v>68</v>
      </c>
      <c r="B563" s="2" t="s">
        <v>1001</v>
      </c>
      <c r="C563" s="2" t="s">
        <v>486</v>
      </c>
      <c r="D563" s="2" t="s">
        <v>154</v>
      </c>
      <c r="E563" s="2" t="s">
        <v>1004</v>
      </c>
      <c r="F563" s="3">
        <v>-0.11</v>
      </c>
    </row>
    <row r="564" spans="1:6" ht="15" customHeight="1" x14ac:dyDescent="0.25">
      <c r="A564" s="2" t="s">
        <v>68</v>
      </c>
      <c r="B564" s="2" t="s">
        <v>1001</v>
      </c>
      <c r="C564" s="2" t="s">
        <v>486</v>
      </c>
      <c r="D564" s="2" t="s">
        <v>164</v>
      </c>
      <c r="E564" s="2" t="s">
        <v>1005</v>
      </c>
      <c r="F564" s="3">
        <v>-0.4</v>
      </c>
    </row>
    <row r="565" spans="1:6" ht="15" customHeight="1" x14ac:dyDescent="0.25">
      <c r="A565" s="2" t="s">
        <v>68</v>
      </c>
      <c r="B565" s="2" t="s">
        <v>1001</v>
      </c>
      <c r="C565" s="2" t="s">
        <v>484</v>
      </c>
      <c r="D565" s="2" t="s">
        <v>154</v>
      </c>
      <c r="E565" s="2" t="s">
        <v>1006</v>
      </c>
      <c r="F565" s="3">
        <v>0.74</v>
      </c>
    </row>
    <row r="566" spans="1:6" ht="15" customHeight="1" x14ac:dyDescent="0.25">
      <c r="A566" s="2" t="s">
        <v>68</v>
      </c>
      <c r="B566" s="2" t="s">
        <v>1001</v>
      </c>
      <c r="C566" s="2" t="s">
        <v>484</v>
      </c>
      <c r="D566" s="2" t="s">
        <v>164</v>
      </c>
      <c r="E566" s="2" t="s">
        <v>1007</v>
      </c>
      <c r="F566" s="3">
        <v>2.7</v>
      </c>
    </row>
    <row r="567" spans="1:6" ht="15" customHeight="1" x14ac:dyDescent="0.25">
      <c r="A567" s="2" t="s">
        <v>68</v>
      </c>
      <c r="B567" s="2" t="s">
        <v>1008</v>
      </c>
      <c r="C567" s="2" t="s">
        <v>486</v>
      </c>
      <c r="D567" s="2" t="s">
        <v>132</v>
      </c>
      <c r="E567" s="2" t="s">
        <v>1009</v>
      </c>
      <c r="F567" s="3">
        <v>-3.05</v>
      </c>
    </row>
    <row r="568" spans="1:6" ht="15" customHeight="1" x14ac:dyDescent="0.25">
      <c r="A568" s="2" t="s">
        <v>68</v>
      </c>
      <c r="B568" s="2" t="s">
        <v>1008</v>
      </c>
      <c r="C568" s="2" t="s">
        <v>486</v>
      </c>
      <c r="D568" s="2" t="s">
        <v>164</v>
      </c>
      <c r="E568" s="2" t="s">
        <v>1010</v>
      </c>
      <c r="F568" s="3">
        <v>-0.73</v>
      </c>
    </row>
    <row r="569" spans="1:6" ht="15" customHeight="1" x14ac:dyDescent="0.25">
      <c r="A569" s="2" t="s">
        <v>68</v>
      </c>
      <c r="B569" s="2" t="s">
        <v>1008</v>
      </c>
      <c r="C569" s="2" t="s">
        <v>484</v>
      </c>
      <c r="D569" s="2" t="s">
        <v>132</v>
      </c>
      <c r="E569" s="2" t="s">
        <v>1011</v>
      </c>
      <c r="F569" s="3">
        <v>20.36</v>
      </c>
    </row>
    <row r="570" spans="1:6" ht="15" customHeight="1" x14ac:dyDescent="0.25">
      <c r="A570" s="2" t="s">
        <v>68</v>
      </c>
      <c r="B570" s="2" t="s">
        <v>1008</v>
      </c>
      <c r="C570" s="2" t="s">
        <v>484</v>
      </c>
      <c r="D570" s="2" t="s">
        <v>164</v>
      </c>
      <c r="E570" s="2" t="s">
        <v>1012</v>
      </c>
      <c r="F570" s="3">
        <v>4.92</v>
      </c>
    </row>
    <row r="571" spans="1:6" ht="15" customHeight="1" x14ac:dyDescent="0.25">
      <c r="A571" s="2" t="s">
        <v>68</v>
      </c>
      <c r="B571" s="2" t="s">
        <v>1013</v>
      </c>
      <c r="C571" s="2" t="s">
        <v>484</v>
      </c>
      <c r="D571" s="2" t="s">
        <v>158</v>
      </c>
      <c r="E571" s="2" t="s">
        <v>1014</v>
      </c>
      <c r="F571" s="3">
        <v>6.61</v>
      </c>
    </row>
    <row r="572" spans="1:6" ht="15" customHeight="1" x14ac:dyDescent="0.25">
      <c r="A572" s="2" t="s">
        <v>68</v>
      </c>
      <c r="B572" s="2" t="s">
        <v>1013</v>
      </c>
      <c r="C572" s="2" t="s">
        <v>486</v>
      </c>
      <c r="D572" s="2" t="s">
        <v>158</v>
      </c>
      <c r="E572" s="2" t="s">
        <v>1015</v>
      </c>
      <c r="F572" s="3">
        <v>-0.99</v>
      </c>
    </row>
    <row r="573" spans="1:6" ht="15" customHeight="1" x14ac:dyDescent="0.25">
      <c r="A573" s="2" t="s">
        <v>68</v>
      </c>
      <c r="B573" s="2" t="s">
        <v>1013</v>
      </c>
      <c r="C573" s="2" t="s">
        <v>486</v>
      </c>
      <c r="D573" s="2" t="s">
        <v>134</v>
      </c>
      <c r="E573" s="2" t="s">
        <v>705</v>
      </c>
      <c r="F573" s="3">
        <v>-1.17</v>
      </c>
    </row>
    <row r="574" spans="1:6" ht="15" customHeight="1" x14ac:dyDescent="0.25">
      <c r="A574" s="2" t="s">
        <v>68</v>
      </c>
      <c r="B574" s="2" t="s">
        <v>1013</v>
      </c>
      <c r="C574" s="2" t="s">
        <v>484</v>
      </c>
      <c r="D574" s="2" t="s">
        <v>134</v>
      </c>
      <c r="E574" s="2" t="s">
        <v>1016</v>
      </c>
      <c r="F574" s="3">
        <v>7.82</v>
      </c>
    </row>
    <row r="575" spans="1:6" ht="15" customHeight="1" x14ac:dyDescent="0.25">
      <c r="A575" s="2" t="s">
        <v>68</v>
      </c>
      <c r="B575" s="2" t="s">
        <v>1013</v>
      </c>
      <c r="C575" s="2" t="s">
        <v>486</v>
      </c>
      <c r="D575" s="2" t="s">
        <v>113</v>
      </c>
      <c r="E575" s="2" t="s">
        <v>1017</v>
      </c>
      <c r="F575" s="3">
        <v>-0.1</v>
      </c>
    </row>
    <row r="576" spans="1:6" ht="15" customHeight="1" x14ac:dyDescent="0.25">
      <c r="A576" s="2" t="s">
        <v>68</v>
      </c>
      <c r="B576" s="2" t="s">
        <v>1013</v>
      </c>
      <c r="C576" s="2" t="s">
        <v>484</v>
      </c>
      <c r="D576" s="2" t="s">
        <v>113</v>
      </c>
      <c r="E576" s="2" t="s">
        <v>1018</v>
      </c>
      <c r="F576" s="3">
        <v>0.71</v>
      </c>
    </row>
    <row r="577" spans="1:6" ht="15" customHeight="1" x14ac:dyDescent="0.25">
      <c r="A577" s="2" t="s">
        <v>68</v>
      </c>
      <c r="B577" s="2" t="s">
        <v>1013</v>
      </c>
      <c r="C577" s="2" t="s">
        <v>486</v>
      </c>
      <c r="D577" s="2" t="s">
        <v>145</v>
      </c>
      <c r="E577" s="2" t="s">
        <v>1019</v>
      </c>
      <c r="F577" s="3">
        <v>-4.12</v>
      </c>
    </row>
    <row r="578" spans="1:6" ht="15" customHeight="1" x14ac:dyDescent="0.25">
      <c r="A578" s="2" t="s">
        <v>68</v>
      </c>
      <c r="B578" s="2" t="s">
        <v>1013</v>
      </c>
      <c r="C578" s="2" t="s">
        <v>484</v>
      </c>
      <c r="D578" s="2" t="s">
        <v>145</v>
      </c>
      <c r="E578" s="2" t="s">
        <v>1020</v>
      </c>
      <c r="F578" s="3">
        <v>27.49</v>
      </c>
    </row>
    <row r="579" spans="1:6" ht="15" customHeight="1" x14ac:dyDescent="0.25">
      <c r="A579" s="2" t="s">
        <v>68</v>
      </c>
      <c r="B579" s="2" t="s">
        <v>1013</v>
      </c>
      <c r="C579" s="2" t="s">
        <v>486</v>
      </c>
      <c r="D579" s="2" t="s">
        <v>149</v>
      </c>
      <c r="E579" s="2" t="s">
        <v>1021</v>
      </c>
      <c r="F579" s="3">
        <v>-0.12</v>
      </c>
    </row>
    <row r="580" spans="1:6" ht="15" customHeight="1" x14ac:dyDescent="0.25">
      <c r="A580" s="2" t="s">
        <v>68</v>
      </c>
      <c r="B580" s="2" t="s">
        <v>1013</v>
      </c>
      <c r="C580" s="2" t="s">
        <v>484</v>
      </c>
      <c r="D580" s="2" t="s">
        <v>149</v>
      </c>
      <c r="E580" s="2" t="s">
        <v>1022</v>
      </c>
      <c r="F580" s="3">
        <v>0.82</v>
      </c>
    </row>
    <row r="581" spans="1:6" ht="15" customHeight="1" x14ac:dyDescent="0.25">
      <c r="A581" s="2" t="s">
        <v>68</v>
      </c>
      <c r="B581" s="2" t="s">
        <v>1013</v>
      </c>
      <c r="C581" s="2" t="s">
        <v>486</v>
      </c>
      <c r="D581" s="2" t="s">
        <v>136</v>
      </c>
      <c r="E581" s="2" t="s">
        <v>1023</v>
      </c>
      <c r="F581" s="3">
        <v>-0.64</v>
      </c>
    </row>
    <row r="582" spans="1:6" ht="15" customHeight="1" x14ac:dyDescent="0.25">
      <c r="A582" s="2" t="s">
        <v>68</v>
      </c>
      <c r="B582" s="2" t="s">
        <v>1013</v>
      </c>
      <c r="C582" s="2" t="s">
        <v>484</v>
      </c>
      <c r="D582" s="2" t="s">
        <v>136</v>
      </c>
      <c r="E582" s="2" t="s">
        <v>1024</v>
      </c>
      <c r="F582" s="3">
        <v>4.33</v>
      </c>
    </row>
    <row r="583" spans="1:6" ht="15" customHeight="1" x14ac:dyDescent="0.25">
      <c r="A583" s="2" t="s">
        <v>68</v>
      </c>
      <c r="B583" s="2" t="s">
        <v>1013</v>
      </c>
      <c r="C583" s="2" t="s">
        <v>486</v>
      </c>
      <c r="D583" s="2" t="s">
        <v>164</v>
      </c>
      <c r="E583" s="2" t="s">
        <v>1025</v>
      </c>
      <c r="F583" s="3">
        <v>-0.63</v>
      </c>
    </row>
    <row r="584" spans="1:6" ht="15" customHeight="1" x14ac:dyDescent="0.25">
      <c r="A584" s="2" t="s">
        <v>68</v>
      </c>
      <c r="B584" s="2" t="s">
        <v>1013</v>
      </c>
      <c r="C584" s="2" t="s">
        <v>484</v>
      </c>
      <c r="D584" s="2" t="s">
        <v>164</v>
      </c>
      <c r="E584" s="2" t="s">
        <v>1026</v>
      </c>
      <c r="F584" s="3">
        <v>4.24</v>
      </c>
    </row>
    <row r="585" spans="1:6" ht="15" customHeight="1" x14ac:dyDescent="0.25">
      <c r="A585" s="2" t="s">
        <v>68</v>
      </c>
      <c r="B585" s="2" t="s">
        <v>1027</v>
      </c>
      <c r="C585" s="2" t="s">
        <v>486</v>
      </c>
      <c r="D585" s="2" t="s">
        <v>160</v>
      </c>
      <c r="E585" s="2" t="s">
        <v>937</v>
      </c>
      <c r="F585" s="3">
        <v>-0.6</v>
      </c>
    </row>
    <row r="586" spans="1:6" ht="15" customHeight="1" x14ac:dyDescent="0.25">
      <c r="A586" s="2" t="s">
        <v>68</v>
      </c>
      <c r="B586" s="2" t="s">
        <v>1027</v>
      </c>
      <c r="C586" s="2" t="s">
        <v>484</v>
      </c>
      <c r="D586" s="2" t="s">
        <v>170</v>
      </c>
      <c r="E586" s="2" t="s">
        <v>1028</v>
      </c>
      <c r="F586" s="3">
        <v>2.0299999999999998</v>
      </c>
    </row>
    <row r="587" spans="1:6" ht="15" customHeight="1" x14ac:dyDescent="0.25">
      <c r="A587" s="2" t="s">
        <v>68</v>
      </c>
      <c r="B587" s="2" t="s">
        <v>1027</v>
      </c>
      <c r="C587" s="2" t="s">
        <v>486</v>
      </c>
      <c r="D587" s="2" t="s">
        <v>170</v>
      </c>
      <c r="E587" s="2" t="s">
        <v>1029</v>
      </c>
      <c r="F587" s="3">
        <v>-0.3</v>
      </c>
    </row>
    <row r="588" spans="1:6" ht="15" customHeight="1" x14ac:dyDescent="0.25">
      <c r="A588" s="2" t="s">
        <v>68</v>
      </c>
      <c r="B588" s="2" t="s">
        <v>1027</v>
      </c>
      <c r="C588" s="2" t="s">
        <v>484</v>
      </c>
      <c r="D588" s="2" t="s">
        <v>160</v>
      </c>
      <c r="E588" s="2" t="s">
        <v>1030</v>
      </c>
      <c r="F588" s="3">
        <v>4.05</v>
      </c>
    </row>
    <row r="589" spans="1:6" ht="15" customHeight="1" x14ac:dyDescent="0.25">
      <c r="A589" s="2" t="s">
        <v>68</v>
      </c>
      <c r="B589" s="2" t="s">
        <v>1027</v>
      </c>
      <c r="C589" s="2" t="s">
        <v>484</v>
      </c>
      <c r="D589" s="2" t="s">
        <v>121</v>
      </c>
      <c r="E589" s="2" t="s">
        <v>1031</v>
      </c>
      <c r="F589" s="3">
        <v>23.99</v>
      </c>
    </row>
    <row r="590" spans="1:6" ht="15" customHeight="1" x14ac:dyDescent="0.25">
      <c r="A590" s="2" t="s">
        <v>68</v>
      </c>
      <c r="B590" s="2" t="s">
        <v>1027</v>
      </c>
      <c r="C590" s="2" t="s">
        <v>486</v>
      </c>
      <c r="D590" s="2" t="s">
        <v>121</v>
      </c>
      <c r="E590" s="2" t="s">
        <v>1032</v>
      </c>
      <c r="F590" s="3">
        <v>-3.59</v>
      </c>
    </row>
    <row r="591" spans="1:6" ht="15" customHeight="1" x14ac:dyDescent="0.25">
      <c r="A591" s="2" t="s">
        <v>68</v>
      </c>
      <c r="B591" s="2" t="s">
        <v>1027</v>
      </c>
      <c r="C591" s="2" t="s">
        <v>484</v>
      </c>
      <c r="D591" s="2" t="s">
        <v>117</v>
      </c>
      <c r="E591" s="2" t="s">
        <v>1033</v>
      </c>
      <c r="F591" s="3">
        <v>6.4</v>
      </c>
    </row>
    <row r="592" spans="1:6" ht="15" customHeight="1" x14ac:dyDescent="0.25">
      <c r="A592" s="2" t="s">
        <v>68</v>
      </c>
      <c r="B592" s="2" t="s">
        <v>1027</v>
      </c>
      <c r="C592" s="2" t="s">
        <v>486</v>
      </c>
      <c r="D592" s="2" t="s">
        <v>117</v>
      </c>
      <c r="E592" s="2" t="s">
        <v>1034</v>
      </c>
      <c r="F592" s="3">
        <v>-0.96</v>
      </c>
    </row>
    <row r="593" spans="1:6" ht="15" customHeight="1" x14ac:dyDescent="0.25">
      <c r="A593" s="2" t="s">
        <v>68</v>
      </c>
      <c r="B593" s="2" t="s">
        <v>1027</v>
      </c>
      <c r="C593" s="2" t="s">
        <v>486</v>
      </c>
      <c r="D593" s="2" t="s">
        <v>123</v>
      </c>
      <c r="E593" s="2" t="s">
        <v>529</v>
      </c>
      <c r="F593" s="3">
        <v>-0.45</v>
      </c>
    </row>
    <row r="594" spans="1:6" ht="15" customHeight="1" x14ac:dyDescent="0.25">
      <c r="A594" s="2" t="s">
        <v>68</v>
      </c>
      <c r="B594" s="2" t="s">
        <v>1027</v>
      </c>
      <c r="C594" s="2" t="s">
        <v>484</v>
      </c>
      <c r="D594" s="2" t="s">
        <v>123</v>
      </c>
      <c r="E594" s="2" t="s">
        <v>1035</v>
      </c>
      <c r="F594" s="3">
        <v>3.02</v>
      </c>
    </row>
    <row r="595" spans="1:6" ht="15" customHeight="1" x14ac:dyDescent="0.25">
      <c r="A595" s="2" t="s">
        <v>68</v>
      </c>
      <c r="B595" s="2" t="s">
        <v>1027</v>
      </c>
      <c r="C595" s="2" t="s">
        <v>486</v>
      </c>
      <c r="D595" s="2" t="s">
        <v>156</v>
      </c>
      <c r="E595" s="2" t="s">
        <v>966</v>
      </c>
      <c r="F595" s="3">
        <v>-2.35</v>
      </c>
    </row>
    <row r="596" spans="1:6" ht="15" customHeight="1" x14ac:dyDescent="0.25">
      <c r="A596" s="2" t="s">
        <v>68</v>
      </c>
      <c r="B596" s="2" t="s">
        <v>1027</v>
      </c>
      <c r="C596" s="2" t="s">
        <v>484</v>
      </c>
      <c r="D596" s="2" t="s">
        <v>156</v>
      </c>
      <c r="E596" s="2" t="s">
        <v>1036</v>
      </c>
      <c r="F596" s="3">
        <v>15.7</v>
      </c>
    </row>
    <row r="597" spans="1:6" ht="15" customHeight="1" x14ac:dyDescent="0.25">
      <c r="A597" s="2" t="s">
        <v>68</v>
      </c>
      <c r="B597" s="2" t="s">
        <v>1027</v>
      </c>
      <c r="C597" s="2" t="s">
        <v>486</v>
      </c>
      <c r="D597" s="2" t="s">
        <v>125</v>
      </c>
      <c r="E597" s="2" t="s">
        <v>885</v>
      </c>
      <c r="F597" s="3">
        <v>-0.96</v>
      </c>
    </row>
    <row r="598" spans="1:6" ht="15" customHeight="1" x14ac:dyDescent="0.25">
      <c r="A598" s="2" t="s">
        <v>68</v>
      </c>
      <c r="B598" s="2" t="s">
        <v>1027</v>
      </c>
      <c r="C598" s="2" t="s">
        <v>484</v>
      </c>
      <c r="D598" s="2" t="s">
        <v>125</v>
      </c>
      <c r="E598" s="2" t="s">
        <v>1037</v>
      </c>
      <c r="F598" s="3">
        <v>6.42</v>
      </c>
    </row>
    <row r="599" spans="1:6" ht="15" customHeight="1" x14ac:dyDescent="0.25">
      <c r="A599" s="2" t="s">
        <v>70</v>
      </c>
      <c r="B599" s="2" t="s">
        <v>353</v>
      </c>
      <c r="C599" s="2" t="s">
        <v>486</v>
      </c>
      <c r="D599" s="2" t="s">
        <v>173</v>
      </c>
      <c r="E599" s="2" t="s">
        <v>833</v>
      </c>
      <c r="F599" s="3">
        <v>-0.24</v>
      </c>
    </row>
    <row r="600" spans="1:6" ht="15" customHeight="1" x14ac:dyDescent="0.25">
      <c r="A600" s="2" t="s">
        <v>70</v>
      </c>
      <c r="B600" s="2" t="s">
        <v>353</v>
      </c>
      <c r="C600" s="2" t="s">
        <v>484</v>
      </c>
      <c r="D600" s="2" t="s">
        <v>173</v>
      </c>
      <c r="E600" s="2" t="s">
        <v>1038</v>
      </c>
      <c r="F600" s="3">
        <v>1.61</v>
      </c>
    </row>
    <row r="601" spans="1:6" ht="15" customHeight="1" x14ac:dyDescent="0.25">
      <c r="A601" s="2" t="s">
        <v>70</v>
      </c>
      <c r="B601" s="2" t="s">
        <v>1039</v>
      </c>
      <c r="C601" s="2" t="s">
        <v>486</v>
      </c>
      <c r="D601" s="2" t="s">
        <v>129</v>
      </c>
      <c r="E601" s="2" t="s">
        <v>1040</v>
      </c>
      <c r="F601" s="3">
        <v>-1.97</v>
      </c>
    </row>
    <row r="602" spans="1:6" ht="15" customHeight="1" x14ac:dyDescent="0.25">
      <c r="A602" s="2" t="s">
        <v>70</v>
      </c>
      <c r="B602" s="2" t="s">
        <v>1039</v>
      </c>
      <c r="C602" s="2" t="s">
        <v>484</v>
      </c>
      <c r="D602" s="2" t="s">
        <v>129</v>
      </c>
      <c r="E602" s="2" t="s">
        <v>1041</v>
      </c>
      <c r="F602" s="3">
        <v>13.14</v>
      </c>
    </row>
    <row r="603" spans="1:6" ht="15" customHeight="1" x14ac:dyDescent="0.25">
      <c r="A603" s="2" t="s">
        <v>70</v>
      </c>
      <c r="B603" s="2" t="s">
        <v>1042</v>
      </c>
      <c r="C603" s="2" t="s">
        <v>486</v>
      </c>
      <c r="D603" s="2" t="s">
        <v>140</v>
      </c>
      <c r="E603" s="2" t="s">
        <v>1043</v>
      </c>
      <c r="F603" s="3">
        <v>-6.15</v>
      </c>
    </row>
    <row r="604" spans="1:6" ht="15" customHeight="1" x14ac:dyDescent="0.25">
      <c r="A604" s="2" t="s">
        <v>70</v>
      </c>
      <c r="B604" s="2" t="s">
        <v>1042</v>
      </c>
      <c r="C604" s="2" t="s">
        <v>486</v>
      </c>
      <c r="D604" s="2" t="s">
        <v>166</v>
      </c>
      <c r="E604" s="2" t="s">
        <v>1044</v>
      </c>
      <c r="F604" s="3">
        <v>-0.26</v>
      </c>
    </row>
    <row r="605" spans="1:6" ht="15" customHeight="1" x14ac:dyDescent="0.25">
      <c r="A605" s="2" t="s">
        <v>70</v>
      </c>
      <c r="B605" s="2" t="s">
        <v>1042</v>
      </c>
      <c r="C605" s="2" t="s">
        <v>486</v>
      </c>
      <c r="D605" s="2" t="s">
        <v>115</v>
      </c>
      <c r="E605" s="2" t="s">
        <v>1045</v>
      </c>
      <c r="F605" s="3">
        <v>-3.21</v>
      </c>
    </row>
    <row r="606" spans="1:6" ht="15" customHeight="1" x14ac:dyDescent="0.25">
      <c r="A606" s="2" t="s">
        <v>70</v>
      </c>
      <c r="B606" s="2" t="s">
        <v>1042</v>
      </c>
      <c r="C606" s="2" t="s">
        <v>486</v>
      </c>
      <c r="D606" s="2" t="s">
        <v>119</v>
      </c>
      <c r="E606" s="2" t="s">
        <v>657</v>
      </c>
      <c r="F606" s="3">
        <v>-2.25</v>
      </c>
    </row>
    <row r="607" spans="1:6" ht="15" customHeight="1" x14ac:dyDescent="0.25">
      <c r="A607" s="2" t="s">
        <v>70</v>
      </c>
      <c r="B607" s="2" t="s">
        <v>1042</v>
      </c>
      <c r="C607" s="2" t="s">
        <v>486</v>
      </c>
      <c r="D607" s="2" t="s">
        <v>162</v>
      </c>
      <c r="E607" s="2" t="s">
        <v>1046</v>
      </c>
      <c r="F607" s="3">
        <v>-0.72</v>
      </c>
    </row>
    <row r="608" spans="1:6" ht="15" customHeight="1" x14ac:dyDescent="0.25">
      <c r="A608" s="2" t="s">
        <v>70</v>
      </c>
      <c r="B608" s="2" t="s">
        <v>1042</v>
      </c>
      <c r="C608" s="2" t="s">
        <v>486</v>
      </c>
      <c r="D608" s="2" t="s">
        <v>164</v>
      </c>
      <c r="E608" s="2" t="s">
        <v>1047</v>
      </c>
      <c r="F608" s="3">
        <v>-0.86</v>
      </c>
    </row>
    <row r="609" spans="1:6" ht="15" customHeight="1" x14ac:dyDescent="0.25">
      <c r="A609" s="2" t="s">
        <v>70</v>
      </c>
      <c r="B609" s="2" t="s">
        <v>1042</v>
      </c>
      <c r="C609" s="2" t="s">
        <v>486</v>
      </c>
      <c r="D609" s="2" t="s">
        <v>127</v>
      </c>
      <c r="E609" s="2" t="s">
        <v>1048</v>
      </c>
      <c r="F609" s="3">
        <v>-1.73</v>
      </c>
    </row>
    <row r="610" spans="1:6" ht="15" customHeight="1" x14ac:dyDescent="0.25">
      <c r="A610" s="2" t="s">
        <v>70</v>
      </c>
      <c r="B610" s="2" t="s">
        <v>1042</v>
      </c>
      <c r="C610" s="2" t="s">
        <v>484</v>
      </c>
      <c r="D610" s="2" t="s">
        <v>140</v>
      </c>
      <c r="E610" s="2" t="s">
        <v>1049</v>
      </c>
      <c r="F610" s="3">
        <v>41.02</v>
      </c>
    </row>
    <row r="611" spans="1:6" ht="15" customHeight="1" x14ac:dyDescent="0.25">
      <c r="A611" s="2" t="s">
        <v>70</v>
      </c>
      <c r="B611" s="2" t="s">
        <v>1042</v>
      </c>
      <c r="C611" s="2" t="s">
        <v>484</v>
      </c>
      <c r="D611" s="2" t="s">
        <v>166</v>
      </c>
      <c r="E611" s="2" t="s">
        <v>1050</v>
      </c>
      <c r="F611" s="3">
        <v>1.78</v>
      </c>
    </row>
    <row r="612" spans="1:6" ht="15" customHeight="1" x14ac:dyDescent="0.25">
      <c r="A612" s="2" t="s">
        <v>70</v>
      </c>
      <c r="B612" s="2" t="s">
        <v>1042</v>
      </c>
      <c r="C612" s="2" t="s">
        <v>484</v>
      </c>
      <c r="D612" s="2" t="s">
        <v>115</v>
      </c>
      <c r="E612" s="2" t="s">
        <v>1051</v>
      </c>
      <c r="F612" s="3">
        <v>21.46</v>
      </c>
    </row>
    <row r="613" spans="1:6" ht="15" customHeight="1" x14ac:dyDescent="0.25">
      <c r="A613" s="2" t="s">
        <v>70</v>
      </c>
      <c r="B613" s="2" t="s">
        <v>1042</v>
      </c>
      <c r="C613" s="2" t="s">
        <v>484</v>
      </c>
      <c r="D613" s="2" t="s">
        <v>119</v>
      </c>
      <c r="E613" s="2" t="s">
        <v>1052</v>
      </c>
      <c r="F613" s="3">
        <v>15.04</v>
      </c>
    </row>
    <row r="614" spans="1:6" ht="15" customHeight="1" x14ac:dyDescent="0.25">
      <c r="A614" s="2" t="s">
        <v>70</v>
      </c>
      <c r="B614" s="2" t="s">
        <v>1042</v>
      </c>
      <c r="C614" s="2" t="s">
        <v>484</v>
      </c>
      <c r="D614" s="2" t="s">
        <v>162</v>
      </c>
      <c r="E614" s="2" t="s">
        <v>1053</v>
      </c>
      <c r="F614" s="3">
        <v>4.83</v>
      </c>
    </row>
    <row r="615" spans="1:6" ht="15" customHeight="1" x14ac:dyDescent="0.25">
      <c r="A615" s="2" t="s">
        <v>70</v>
      </c>
      <c r="B615" s="2" t="s">
        <v>1042</v>
      </c>
      <c r="C615" s="2" t="s">
        <v>484</v>
      </c>
      <c r="D615" s="2" t="s">
        <v>164</v>
      </c>
      <c r="E615" s="2" t="s">
        <v>1054</v>
      </c>
      <c r="F615" s="3">
        <v>5.74</v>
      </c>
    </row>
    <row r="616" spans="1:6" ht="15" customHeight="1" x14ac:dyDescent="0.25">
      <c r="A616" s="2" t="s">
        <v>70</v>
      </c>
      <c r="B616" s="2" t="s">
        <v>1042</v>
      </c>
      <c r="C616" s="2" t="s">
        <v>484</v>
      </c>
      <c r="D616" s="2" t="s">
        <v>127</v>
      </c>
      <c r="E616" s="2" t="s">
        <v>1055</v>
      </c>
      <c r="F616" s="3">
        <v>11.55</v>
      </c>
    </row>
    <row r="617" spans="1:6" ht="15" customHeight="1" x14ac:dyDescent="0.25">
      <c r="A617" s="2" t="s">
        <v>70</v>
      </c>
      <c r="B617" s="2" t="s">
        <v>354</v>
      </c>
      <c r="C617" s="2" t="s">
        <v>486</v>
      </c>
      <c r="D617" s="2" t="s">
        <v>143</v>
      </c>
      <c r="E617" s="2" t="s">
        <v>1056</v>
      </c>
      <c r="F617" s="3">
        <v>-1.69</v>
      </c>
    </row>
    <row r="618" spans="1:6" ht="15" customHeight="1" x14ac:dyDescent="0.25">
      <c r="A618" s="2" t="s">
        <v>70</v>
      </c>
      <c r="B618" s="2" t="s">
        <v>354</v>
      </c>
      <c r="C618" s="2" t="s">
        <v>484</v>
      </c>
      <c r="D618" s="2" t="s">
        <v>143</v>
      </c>
      <c r="E618" s="2" t="s">
        <v>1057</v>
      </c>
      <c r="F618" s="3">
        <v>11.31</v>
      </c>
    </row>
    <row r="619" spans="1:6" ht="15" customHeight="1" x14ac:dyDescent="0.25">
      <c r="A619" s="2" t="s">
        <v>70</v>
      </c>
      <c r="B619" s="2" t="s">
        <v>1058</v>
      </c>
      <c r="C619" s="2" t="s">
        <v>486</v>
      </c>
      <c r="D619" s="2" t="s">
        <v>183</v>
      </c>
      <c r="E619" s="2" t="s">
        <v>1059</v>
      </c>
      <c r="F619" s="3">
        <v>-0.25</v>
      </c>
    </row>
    <row r="620" spans="1:6" ht="15" customHeight="1" x14ac:dyDescent="0.25">
      <c r="A620" s="2" t="s">
        <v>70</v>
      </c>
      <c r="B620" s="2" t="s">
        <v>1058</v>
      </c>
      <c r="C620" s="2" t="s">
        <v>484</v>
      </c>
      <c r="D620" s="2" t="s">
        <v>183</v>
      </c>
      <c r="E620" s="2" t="s">
        <v>1060</v>
      </c>
      <c r="F620" s="3">
        <v>1.68</v>
      </c>
    </row>
    <row r="621" spans="1:6" ht="15" customHeight="1" x14ac:dyDescent="0.25">
      <c r="A621" s="2" t="s">
        <v>70</v>
      </c>
      <c r="B621" s="2" t="s">
        <v>1058</v>
      </c>
      <c r="C621" s="2" t="s">
        <v>484</v>
      </c>
      <c r="D621" s="2" t="s">
        <v>147</v>
      </c>
      <c r="E621" s="2" t="s">
        <v>1061</v>
      </c>
      <c r="F621" s="3">
        <v>1.08</v>
      </c>
    </row>
    <row r="622" spans="1:6" ht="15" customHeight="1" x14ac:dyDescent="0.25">
      <c r="A622" s="2" t="s">
        <v>70</v>
      </c>
      <c r="B622" s="2" t="s">
        <v>1062</v>
      </c>
      <c r="C622" s="2" t="s">
        <v>486</v>
      </c>
      <c r="D622" s="2" t="s">
        <v>179</v>
      </c>
      <c r="E622" s="2" t="s">
        <v>1063</v>
      </c>
      <c r="F622" s="3">
        <v>-0.78</v>
      </c>
    </row>
    <row r="623" spans="1:6" ht="15" customHeight="1" x14ac:dyDescent="0.25">
      <c r="A623" s="2" t="s">
        <v>70</v>
      </c>
      <c r="B623" s="2" t="s">
        <v>1062</v>
      </c>
      <c r="C623" s="2" t="s">
        <v>484</v>
      </c>
      <c r="D623" s="2" t="s">
        <v>179</v>
      </c>
      <c r="E623" s="2" t="s">
        <v>1064</v>
      </c>
      <c r="F623" s="3">
        <v>5.25</v>
      </c>
    </row>
    <row r="624" spans="1:6" ht="15" customHeight="1" x14ac:dyDescent="0.25">
      <c r="A624" s="2" t="s">
        <v>70</v>
      </c>
      <c r="B624" s="2" t="s">
        <v>1062</v>
      </c>
      <c r="C624" s="2" t="s">
        <v>484</v>
      </c>
      <c r="D624" s="2" t="s">
        <v>177</v>
      </c>
      <c r="E624" s="2" t="s">
        <v>1065</v>
      </c>
      <c r="F624" s="3">
        <v>0.56999999999999995</v>
      </c>
    </row>
    <row r="625" spans="1:6" ht="15" customHeight="1" x14ac:dyDescent="0.25">
      <c r="A625" s="2" t="s">
        <v>70</v>
      </c>
      <c r="B625" s="2" t="s">
        <v>1066</v>
      </c>
      <c r="C625" s="2" t="s">
        <v>486</v>
      </c>
      <c r="D625" s="2" t="s">
        <v>152</v>
      </c>
      <c r="E625" s="2" t="s">
        <v>1067</v>
      </c>
      <c r="F625" s="3">
        <v>-7.1</v>
      </c>
    </row>
    <row r="626" spans="1:6" ht="15" customHeight="1" x14ac:dyDescent="0.25">
      <c r="A626" s="2" t="s">
        <v>70</v>
      </c>
      <c r="B626" s="2" t="s">
        <v>1066</v>
      </c>
      <c r="C626" s="2" t="s">
        <v>486</v>
      </c>
      <c r="D626" s="2" t="s">
        <v>164</v>
      </c>
      <c r="E626" s="2" t="s">
        <v>1068</v>
      </c>
      <c r="F626" s="3">
        <v>-0.62</v>
      </c>
    </row>
    <row r="627" spans="1:6" ht="15" customHeight="1" x14ac:dyDescent="0.25">
      <c r="A627" s="2" t="s">
        <v>70</v>
      </c>
      <c r="B627" s="2" t="s">
        <v>1066</v>
      </c>
      <c r="C627" s="2" t="s">
        <v>484</v>
      </c>
      <c r="D627" s="2" t="s">
        <v>152</v>
      </c>
      <c r="E627" s="2" t="s">
        <v>1069</v>
      </c>
      <c r="F627" s="3">
        <v>47.35</v>
      </c>
    </row>
    <row r="628" spans="1:6" ht="15" customHeight="1" x14ac:dyDescent="0.25">
      <c r="A628" s="2" t="s">
        <v>70</v>
      </c>
      <c r="B628" s="2" t="s">
        <v>1066</v>
      </c>
      <c r="C628" s="2" t="s">
        <v>484</v>
      </c>
      <c r="D628" s="2" t="s">
        <v>164</v>
      </c>
      <c r="E628" s="2" t="s">
        <v>1070</v>
      </c>
      <c r="F628" s="3">
        <v>4.16</v>
      </c>
    </row>
    <row r="629" spans="1:6" ht="15" customHeight="1" x14ac:dyDescent="0.25">
      <c r="A629" s="2" t="s">
        <v>70</v>
      </c>
      <c r="B629" s="2" t="s">
        <v>1071</v>
      </c>
      <c r="C629" s="2" t="s">
        <v>486</v>
      </c>
      <c r="D629" s="2" t="s">
        <v>154</v>
      </c>
      <c r="E629" s="2" t="s">
        <v>1004</v>
      </c>
      <c r="F629" s="3">
        <v>-0.11</v>
      </c>
    </row>
    <row r="630" spans="1:6" ht="15" customHeight="1" x14ac:dyDescent="0.25">
      <c r="A630" s="2" t="s">
        <v>70</v>
      </c>
      <c r="B630" s="2" t="s">
        <v>1071</v>
      </c>
      <c r="C630" s="2" t="s">
        <v>484</v>
      </c>
      <c r="D630" s="2" t="s">
        <v>154</v>
      </c>
      <c r="E630" s="2" t="s">
        <v>1072</v>
      </c>
      <c r="F630" s="3">
        <v>0.74</v>
      </c>
    </row>
    <row r="631" spans="1:6" ht="15" customHeight="1" x14ac:dyDescent="0.25">
      <c r="A631" s="2" t="s">
        <v>70</v>
      </c>
      <c r="B631" s="2" t="s">
        <v>357</v>
      </c>
      <c r="C631" s="2" t="s">
        <v>486</v>
      </c>
      <c r="D631" s="2" t="s">
        <v>132</v>
      </c>
      <c r="E631" s="2" t="s">
        <v>1073</v>
      </c>
      <c r="F631" s="3">
        <v>-3.46</v>
      </c>
    </row>
    <row r="632" spans="1:6" ht="15" customHeight="1" x14ac:dyDescent="0.25">
      <c r="A632" s="2" t="s">
        <v>70</v>
      </c>
      <c r="B632" s="2" t="s">
        <v>357</v>
      </c>
      <c r="C632" s="2" t="s">
        <v>486</v>
      </c>
      <c r="D632" s="2" t="s">
        <v>164</v>
      </c>
      <c r="E632" s="2" t="s">
        <v>1074</v>
      </c>
      <c r="F632" s="3">
        <v>-0.64</v>
      </c>
    </row>
    <row r="633" spans="1:6" ht="15" customHeight="1" x14ac:dyDescent="0.25">
      <c r="A633" s="2" t="s">
        <v>70</v>
      </c>
      <c r="B633" s="2" t="s">
        <v>357</v>
      </c>
      <c r="C633" s="2" t="s">
        <v>484</v>
      </c>
      <c r="D633" s="2" t="s">
        <v>132</v>
      </c>
      <c r="E633" s="2" t="s">
        <v>1075</v>
      </c>
      <c r="F633" s="3">
        <v>23.12</v>
      </c>
    </row>
    <row r="634" spans="1:6" ht="15" customHeight="1" x14ac:dyDescent="0.25">
      <c r="A634" s="2" t="s">
        <v>70</v>
      </c>
      <c r="B634" s="2" t="s">
        <v>357</v>
      </c>
      <c r="C634" s="2" t="s">
        <v>484</v>
      </c>
      <c r="D634" s="2" t="s">
        <v>164</v>
      </c>
      <c r="E634" s="2" t="s">
        <v>1076</v>
      </c>
      <c r="F634" s="3">
        <v>4.3</v>
      </c>
    </row>
    <row r="635" spans="1:6" ht="15" customHeight="1" x14ac:dyDescent="0.25">
      <c r="A635" s="2" t="s">
        <v>70</v>
      </c>
      <c r="B635" s="2" t="s">
        <v>1077</v>
      </c>
      <c r="C635" s="2" t="s">
        <v>486</v>
      </c>
      <c r="D635" s="2" t="s">
        <v>134</v>
      </c>
      <c r="E635" s="2" t="s">
        <v>1078</v>
      </c>
      <c r="F635" s="3">
        <v>-1.21</v>
      </c>
    </row>
    <row r="636" spans="1:6" ht="15" customHeight="1" x14ac:dyDescent="0.25">
      <c r="A636" s="2" t="s">
        <v>70</v>
      </c>
      <c r="B636" s="2" t="s">
        <v>1077</v>
      </c>
      <c r="C636" s="2" t="s">
        <v>486</v>
      </c>
      <c r="D636" s="2" t="s">
        <v>145</v>
      </c>
      <c r="E636" s="2" t="s">
        <v>1079</v>
      </c>
      <c r="F636" s="3">
        <v>-3.52</v>
      </c>
    </row>
    <row r="637" spans="1:6" ht="15" customHeight="1" x14ac:dyDescent="0.25">
      <c r="A637" s="2" t="s">
        <v>70</v>
      </c>
      <c r="B637" s="2" t="s">
        <v>1077</v>
      </c>
      <c r="C637" s="2" t="s">
        <v>486</v>
      </c>
      <c r="D637" s="2" t="s">
        <v>187</v>
      </c>
      <c r="E637" s="2" t="s">
        <v>828</v>
      </c>
      <c r="F637" s="3">
        <v>-0.32</v>
      </c>
    </row>
    <row r="638" spans="1:6" ht="15" customHeight="1" x14ac:dyDescent="0.25">
      <c r="A638" s="2" t="s">
        <v>70</v>
      </c>
      <c r="B638" s="2" t="s">
        <v>1077</v>
      </c>
      <c r="C638" s="2" t="s">
        <v>486</v>
      </c>
      <c r="D638" s="2" t="s">
        <v>158</v>
      </c>
      <c r="E638" s="2" t="s">
        <v>1080</v>
      </c>
      <c r="F638" s="3">
        <v>-0.93</v>
      </c>
    </row>
    <row r="639" spans="1:6" ht="15" customHeight="1" x14ac:dyDescent="0.25">
      <c r="A639" s="2" t="s">
        <v>70</v>
      </c>
      <c r="B639" s="2" t="s">
        <v>1077</v>
      </c>
      <c r="C639" s="2" t="s">
        <v>486</v>
      </c>
      <c r="D639" s="2" t="s">
        <v>136</v>
      </c>
      <c r="E639" s="2" t="s">
        <v>1081</v>
      </c>
      <c r="F639" s="3">
        <v>-0.61</v>
      </c>
    </row>
    <row r="640" spans="1:6" ht="15" customHeight="1" x14ac:dyDescent="0.25">
      <c r="A640" s="2" t="s">
        <v>70</v>
      </c>
      <c r="B640" s="2" t="s">
        <v>1077</v>
      </c>
      <c r="C640" s="2" t="s">
        <v>486</v>
      </c>
      <c r="D640" s="2" t="s">
        <v>164</v>
      </c>
      <c r="E640" s="2" t="s">
        <v>1082</v>
      </c>
      <c r="F640" s="3">
        <v>-0.66</v>
      </c>
    </row>
    <row r="641" spans="1:6" ht="15" customHeight="1" x14ac:dyDescent="0.25">
      <c r="A641" s="2" t="s">
        <v>70</v>
      </c>
      <c r="B641" s="2" t="s">
        <v>1077</v>
      </c>
      <c r="C641" s="2" t="s">
        <v>484</v>
      </c>
      <c r="D641" s="2" t="s">
        <v>187</v>
      </c>
      <c r="E641" s="2" t="s">
        <v>1083</v>
      </c>
      <c r="F641" s="3">
        <v>2.16</v>
      </c>
    </row>
    <row r="642" spans="1:6" ht="15" customHeight="1" x14ac:dyDescent="0.25">
      <c r="A642" s="2" t="s">
        <v>70</v>
      </c>
      <c r="B642" s="2" t="s">
        <v>1077</v>
      </c>
      <c r="C642" s="2" t="s">
        <v>484</v>
      </c>
      <c r="D642" s="2" t="s">
        <v>158</v>
      </c>
      <c r="E642" s="2" t="s">
        <v>1084</v>
      </c>
      <c r="F642" s="3">
        <v>6.26</v>
      </c>
    </row>
    <row r="643" spans="1:6" ht="15" customHeight="1" x14ac:dyDescent="0.25">
      <c r="A643" s="2" t="s">
        <v>70</v>
      </c>
      <c r="B643" s="2" t="s">
        <v>1077</v>
      </c>
      <c r="C643" s="2" t="s">
        <v>484</v>
      </c>
      <c r="D643" s="2" t="s">
        <v>134</v>
      </c>
      <c r="E643" s="2" t="s">
        <v>1085</v>
      </c>
      <c r="F643" s="3">
        <v>8.07</v>
      </c>
    </row>
    <row r="644" spans="1:6" ht="15" customHeight="1" x14ac:dyDescent="0.25">
      <c r="A644" s="2" t="s">
        <v>70</v>
      </c>
      <c r="B644" s="2" t="s">
        <v>1077</v>
      </c>
      <c r="C644" s="2" t="s">
        <v>484</v>
      </c>
      <c r="D644" s="2" t="s">
        <v>145</v>
      </c>
      <c r="E644" s="2" t="s">
        <v>1086</v>
      </c>
      <c r="F644" s="3">
        <v>23.51</v>
      </c>
    </row>
    <row r="645" spans="1:6" ht="15" customHeight="1" x14ac:dyDescent="0.25">
      <c r="A645" s="2" t="s">
        <v>70</v>
      </c>
      <c r="B645" s="2" t="s">
        <v>1077</v>
      </c>
      <c r="C645" s="2" t="s">
        <v>484</v>
      </c>
      <c r="D645" s="2" t="s">
        <v>136</v>
      </c>
      <c r="E645" s="2" t="s">
        <v>1087</v>
      </c>
      <c r="F645" s="3">
        <v>4.07</v>
      </c>
    </row>
    <row r="646" spans="1:6" ht="15" customHeight="1" x14ac:dyDescent="0.25">
      <c r="A646" s="2" t="s">
        <v>70</v>
      </c>
      <c r="B646" s="2" t="s">
        <v>1077</v>
      </c>
      <c r="C646" s="2" t="s">
        <v>484</v>
      </c>
      <c r="D646" s="2" t="s">
        <v>164</v>
      </c>
      <c r="E646" s="2" t="s">
        <v>1088</v>
      </c>
      <c r="F646" s="3">
        <v>4.41</v>
      </c>
    </row>
    <row r="647" spans="1:6" ht="15" customHeight="1" x14ac:dyDescent="0.25">
      <c r="A647" s="2" t="s">
        <v>70</v>
      </c>
      <c r="B647" s="2" t="s">
        <v>1089</v>
      </c>
      <c r="C647" s="2" t="s">
        <v>486</v>
      </c>
      <c r="D647" s="2" t="s">
        <v>123</v>
      </c>
      <c r="E647" s="2" t="s">
        <v>1090</v>
      </c>
      <c r="F647" s="3">
        <v>-0.42</v>
      </c>
    </row>
    <row r="648" spans="1:6" ht="15" customHeight="1" x14ac:dyDescent="0.25">
      <c r="A648" s="2" t="s">
        <v>70</v>
      </c>
      <c r="B648" s="2" t="s">
        <v>1089</v>
      </c>
      <c r="C648" s="2" t="s">
        <v>484</v>
      </c>
      <c r="D648" s="2" t="s">
        <v>123</v>
      </c>
      <c r="E648" s="2" t="s">
        <v>1091</v>
      </c>
      <c r="F648" s="3">
        <v>2.81</v>
      </c>
    </row>
    <row r="649" spans="1:6" ht="15" customHeight="1" x14ac:dyDescent="0.25">
      <c r="A649" s="2" t="s">
        <v>70</v>
      </c>
      <c r="B649" s="2" t="s">
        <v>1089</v>
      </c>
      <c r="C649" s="2" t="s">
        <v>486</v>
      </c>
      <c r="D649" s="2" t="s">
        <v>117</v>
      </c>
      <c r="E649" s="2" t="s">
        <v>1092</v>
      </c>
      <c r="F649" s="3">
        <v>-0.9</v>
      </c>
    </row>
    <row r="650" spans="1:6" ht="15" customHeight="1" x14ac:dyDescent="0.25">
      <c r="A650" s="2" t="s">
        <v>70</v>
      </c>
      <c r="B650" s="2" t="s">
        <v>1089</v>
      </c>
      <c r="C650" s="2" t="s">
        <v>484</v>
      </c>
      <c r="D650" s="2" t="s">
        <v>117</v>
      </c>
      <c r="E650" s="2" t="s">
        <v>1093</v>
      </c>
      <c r="F650" s="3">
        <v>6.01</v>
      </c>
    </row>
    <row r="651" spans="1:6" ht="15" customHeight="1" x14ac:dyDescent="0.25">
      <c r="A651" s="2" t="s">
        <v>70</v>
      </c>
      <c r="B651" s="2" t="s">
        <v>1089</v>
      </c>
      <c r="C651" s="2" t="s">
        <v>486</v>
      </c>
      <c r="D651" s="2" t="s">
        <v>170</v>
      </c>
      <c r="E651" s="2" t="s">
        <v>1094</v>
      </c>
      <c r="F651" s="3">
        <v>-0.31</v>
      </c>
    </row>
    <row r="652" spans="1:6" ht="15" customHeight="1" x14ac:dyDescent="0.25">
      <c r="A652" s="2" t="s">
        <v>70</v>
      </c>
      <c r="B652" s="2" t="s">
        <v>1089</v>
      </c>
      <c r="C652" s="2" t="s">
        <v>484</v>
      </c>
      <c r="D652" s="2" t="s">
        <v>170</v>
      </c>
      <c r="E652" s="2" t="s">
        <v>1095</v>
      </c>
      <c r="F652" s="3">
        <v>2.09</v>
      </c>
    </row>
    <row r="653" spans="1:6" ht="15" customHeight="1" x14ac:dyDescent="0.25">
      <c r="A653" s="2" t="s">
        <v>70</v>
      </c>
      <c r="B653" s="2" t="s">
        <v>1096</v>
      </c>
      <c r="C653" s="2" t="s">
        <v>486</v>
      </c>
      <c r="D653" s="2" t="s">
        <v>160</v>
      </c>
      <c r="E653" s="2" t="s">
        <v>1097</v>
      </c>
      <c r="F653" s="3">
        <v>-0.62</v>
      </c>
    </row>
    <row r="654" spans="1:6" ht="15" customHeight="1" x14ac:dyDescent="0.25">
      <c r="A654" s="2" t="s">
        <v>70</v>
      </c>
      <c r="B654" s="2" t="s">
        <v>1096</v>
      </c>
      <c r="C654" s="2" t="s">
        <v>486</v>
      </c>
      <c r="D654" s="2" t="s">
        <v>121</v>
      </c>
      <c r="E654" s="2" t="s">
        <v>1098</v>
      </c>
      <c r="F654" s="3">
        <v>-3.27</v>
      </c>
    </row>
    <row r="655" spans="1:6" ht="15" customHeight="1" x14ac:dyDescent="0.25">
      <c r="A655" s="2" t="s">
        <v>70</v>
      </c>
      <c r="B655" s="2" t="s">
        <v>1096</v>
      </c>
      <c r="C655" s="2" t="s">
        <v>486</v>
      </c>
      <c r="D655" s="2" t="s">
        <v>125</v>
      </c>
      <c r="E655" s="2" t="s">
        <v>885</v>
      </c>
      <c r="F655" s="3">
        <v>-0.96</v>
      </c>
    </row>
    <row r="656" spans="1:6" ht="15" customHeight="1" x14ac:dyDescent="0.25">
      <c r="A656" s="2" t="s">
        <v>70</v>
      </c>
      <c r="B656" s="2" t="s">
        <v>1096</v>
      </c>
      <c r="C656" s="2" t="s">
        <v>484</v>
      </c>
      <c r="D656" s="2" t="s">
        <v>160</v>
      </c>
      <c r="E656" s="2" t="s">
        <v>1099</v>
      </c>
      <c r="F656" s="3">
        <v>4.18</v>
      </c>
    </row>
    <row r="657" spans="1:6" ht="15" customHeight="1" x14ac:dyDescent="0.25">
      <c r="A657" s="2" t="s">
        <v>70</v>
      </c>
      <c r="B657" s="2" t="s">
        <v>1096</v>
      </c>
      <c r="C657" s="2" t="s">
        <v>484</v>
      </c>
      <c r="D657" s="2" t="s">
        <v>121</v>
      </c>
      <c r="E657" s="2" t="s">
        <v>1100</v>
      </c>
      <c r="F657" s="3">
        <v>21.85</v>
      </c>
    </row>
    <row r="658" spans="1:6" ht="15" customHeight="1" x14ac:dyDescent="0.25">
      <c r="A658" s="2" t="s">
        <v>70</v>
      </c>
      <c r="B658" s="2" t="s">
        <v>1096</v>
      </c>
      <c r="C658" s="2" t="s">
        <v>484</v>
      </c>
      <c r="D658" s="2" t="s">
        <v>125</v>
      </c>
      <c r="E658" s="2" t="s">
        <v>1101</v>
      </c>
      <c r="F658" s="3">
        <v>6.42</v>
      </c>
    </row>
    <row r="659" spans="1:6" ht="15" customHeight="1" x14ac:dyDescent="0.25">
      <c r="A659" s="2" t="s">
        <v>72</v>
      </c>
      <c r="B659" s="2" t="s">
        <v>360</v>
      </c>
      <c r="C659" s="2" t="s">
        <v>486</v>
      </c>
      <c r="D659" s="2" t="s">
        <v>164</v>
      </c>
      <c r="E659" s="2" t="s">
        <v>1102</v>
      </c>
      <c r="F659" s="3">
        <v>-0.84</v>
      </c>
    </row>
    <row r="660" spans="1:6" ht="15" customHeight="1" x14ac:dyDescent="0.25">
      <c r="A660" s="2" t="s">
        <v>72</v>
      </c>
      <c r="B660" s="2" t="s">
        <v>360</v>
      </c>
      <c r="C660" s="2" t="s">
        <v>484</v>
      </c>
      <c r="D660" s="2" t="s">
        <v>140</v>
      </c>
      <c r="E660" s="2" t="s">
        <v>1103</v>
      </c>
      <c r="F660" s="3">
        <v>60.95</v>
      </c>
    </row>
    <row r="661" spans="1:6" ht="15" customHeight="1" x14ac:dyDescent="0.25">
      <c r="A661" s="2" t="s">
        <v>72</v>
      </c>
      <c r="B661" s="2" t="s">
        <v>360</v>
      </c>
      <c r="C661" s="2" t="s">
        <v>486</v>
      </c>
      <c r="D661" s="2" t="s">
        <v>140</v>
      </c>
      <c r="E661" s="2" t="s">
        <v>1104</v>
      </c>
      <c r="F661" s="3">
        <v>-9.14</v>
      </c>
    </row>
    <row r="662" spans="1:6" ht="15" customHeight="1" x14ac:dyDescent="0.25">
      <c r="A662" s="2" t="s">
        <v>72</v>
      </c>
      <c r="B662" s="2" t="s">
        <v>360</v>
      </c>
      <c r="C662" s="2" t="s">
        <v>484</v>
      </c>
      <c r="D662" s="2" t="s">
        <v>164</v>
      </c>
      <c r="E662" s="2" t="s">
        <v>1105</v>
      </c>
      <c r="F662" s="3">
        <v>5.62</v>
      </c>
    </row>
    <row r="663" spans="1:6" ht="15" customHeight="1" x14ac:dyDescent="0.25">
      <c r="A663" s="2" t="s">
        <v>72</v>
      </c>
      <c r="B663" s="2" t="s">
        <v>1106</v>
      </c>
      <c r="C663" s="2" t="s">
        <v>484</v>
      </c>
      <c r="D663" s="2" t="s">
        <v>129</v>
      </c>
      <c r="E663" s="2" t="s">
        <v>1107</v>
      </c>
      <c r="F663" s="3">
        <v>13.81</v>
      </c>
    </row>
    <row r="664" spans="1:6" ht="15" customHeight="1" x14ac:dyDescent="0.25">
      <c r="A664" s="2" t="s">
        <v>72</v>
      </c>
      <c r="B664" s="2" t="s">
        <v>1106</v>
      </c>
      <c r="C664" s="2" t="s">
        <v>486</v>
      </c>
      <c r="D664" s="2" t="s">
        <v>129</v>
      </c>
      <c r="E664" s="2" t="s">
        <v>1108</v>
      </c>
      <c r="F664" s="3">
        <v>-2.0699999999999998</v>
      </c>
    </row>
    <row r="665" spans="1:6" ht="15" customHeight="1" x14ac:dyDescent="0.25">
      <c r="A665" s="2" t="s">
        <v>72</v>
      </c>
      <c r="B665" s="2" t="s">
        <v>1109</v>
      </c>
      <c r="C665" s="2" t="s">
        <v>484</v>
      </c>
      <c r="D665" s="2" t="s">
        <v>119</v>
      </c>
      <c r="E665" s="2" t="s">
        <v>1110</v>
      </c>
      <c r="F665" s="3">
        <v>14.8</v>
      </c>
    </row>
    <row r="666" spans="1:6" ht="15" customHeight="1" x14ac:dyDescent="0.25">
      <c r="A666" s="2" t="s">
        <v>72</v>
      </c>
      <c r="B666" s="2" t="s">
        <v>1109</v>
      </c>
      <c r="C666" s="2" t="s">
        <v>484</v>
      </c>
      <c r="D666" s="2" t="s">
        <v>115</v>
      </c>
      <c r="E666" s="2" t="s">
        <v>1111</v>
      </c>
      <c r="F666" s="3">
        <v>21.31</v>
      </c>
    </row>
    <row r="667" spans="1:6" ht="15" customHeight="1" x14ac:dyDescent="0.25">
      <c r="A667" s="2" t="s">
        <v>72</v>
      </c>
      <c r="B667" s="2" t="s">
        <v>1109</v>
      </c>
      <c r="C667" s="2" t="s">
        <v>484</v>
      </c>
      <c r="D667" s="2" t="s">
        <v>162</v>
      </c>
      <c r="E667" s="2" t="s">
        <v>1112</v>
      </c>
      <c r="F667" s="3">
        <v>5.16</v>
      </c>
    </row>
    <row r="668" spans="1:6" ht="15" customHeight="1" x14ac:dyDescent="0.25">
      <c r="A668" s="2" t="s">
        <v>72</v>
      </c>
      <c r="B668" s="2" t="s">
        <v>1109</v>
      </c>
      <c r="C668" s="2" t="s">
        <v>486</v>
      </c>
      <c r="D668" s="2" t="s">
        <v>166</v>
      </c>
      <c r="E668" s="2" t="s">
        <v>1113</v>
      </c>
      <c r="F668" s="3">
        <v>-0.3</v>
      </c>
    </row>
    <row r="669" spans="1:6" ht="15" customHeight="1" x14ac:dyDescent="0.25">
      <c r="A669" s="2" t="s">
        <v>72</v>
      </c>
      <c r="B669" s="2" t="s">
        <v>1109</v>
      </c>
      <c r="C669" s="2" t="s">
        <v>486</v>
      </c>
      <c r="D669" s="2" t="s">
        <v>127</v>
      </c>
      <c r="E669" s="2" t="s">
        <v>1114</v>
      </c>
      <c r="F669" s="3">
        <v>-1.88</v>
      </c>
    </row>
    <row r="670" spans="1:6" ht="15" customHeight="1" x14ac:dyDescent="0.25">
      <c r="A670" s="2" t="s">
        <v>72</v>
      </c>
      <c r="B670" s="2" t="s">
        <v>1109</v>
      </c>
      <c r="C670" s="2" t="s">
        <v>486</v>
      </c>
      <c r="D670" s="2" t="s">
        <v>119</v>
      </c>
      <c r="E670" s="2" t="s">
        <v>1115</v>
      </c>
      <c r="F670" s="3">
        <v>-2.2200000000000002</v>
      </c>
    </row>
    <row r="671" spans="1:6" ht="15" customHeight="1" x14ac:dyDescent="0.25">
      <c r="A671" s="2" t="s">
        <v>72</v>
      </c>
      <c r="B671" s="2" t="s">
        <v>1109</v>
      </c>
      <c r="C671" s="2" t="s">
        <v>486</v>
      </c>
      <c r="D671" s="2" t="s">
        <v>162</v>
      </c>
      <c r="E671" s="2" t="s">
        <v>1116</v>
      </c>
      <c r="F671" s="3">
        <v>-0.77</v>
      </c>
    </row>
    <row r="672" spans="1:6" ht="15" customHeight="1" x14ac:dyDescent="0.25">
      <c r="A672" s="2" t="s">
        <v>72</v>
      </c>
      <c r="B672" s="2" t="s">
        <v>1109</v>
      </c>
      <c r="C672" s="2" t="s">
        <v>484</v>
      </c>
      <c r="D672" s="2" t="s">
        <v>166</v>
      </c>
      <c r="E672" s="2" t="s">
        <v>1117</v>
      </c>
      <c r="F672" s="3">
        <v>2.06</v>
      </c>
    </row>
    <row r="673" spans="1:6" ht="15" customHeight="1" x14ac:dyDescent="0.25">
      <c r="A673" s="2" t="s">
        <v>72</v>
      </c>
      <c r="B673" s="2" t="s">
        <v>1109</v>
      </c>
      <c r="C673" s="2" t="s">
        <v>484</v>
      </c>
      <c r="D673" s="2" t="s">
        <v>127</v>
      </c>
      <c r="E673" s="2" t="s">
        <v>1118</v>
      </c>
      <c r="F673" s="3">
        <v>12.58</v>
      </c>
    </row>
    <row r="674" spans="1:6" ht="15" customHeight="1" x14ac:dyDescent="0.25">
      <c r="A674" s="2" t="s">
        <v>72</v>
      </c>
      <c r="B674" s="2" t="s">
        <v>1109</v>
      </c>
      <c r="C674" s="2" t="s">
        <v>486</v>
      </c>
      <c r="D674" s="2" t="s">
        <v>115</v>
      </c>
      <c r="E674" s="2" t="s">
        <v>1119</v>
      </c>
      <c r="F674" s="3">
        <v>-3.19</v>
      </c>
    </row>
    <row r="675" spans="1:6" ht="15" customHeight="1" x14ac:dyDescent="0.25">
      <c r="A675" s="2" t="s">
        <v>72</v>
      </c>
      <c r="B675" s="2" t="s">
        <v>1120</v>
      </c>
      <c r="C675" s="2" t="s">
        <v>484</v>
      </c>
      <c r="D675" s="2" t="s">
        <v>185</v>
      </c>
      <c r="E675" s="2" t="s">
        <v>1121</v>
      </c>
      <c r="F675" s="3">
        <v>0.56999999999999995</v>
      </c>
    </row>
    <row r="676" spans="1:6" ht="15" customHeight="1" x14ac:dyDescent="0.25">
      <c r="A676" s="2" t="s">
        <v>72</v>
      </c>
      <c r="B676" s="2" t="s">
        <v>1120</v>
      </c>
      <c r="C676" s="2" t="s">
        <v>486</v>
      </c>
      <c r="D676" s="2" t="s">
        <v>185</v>
      </c>
      <c r="E676" s="2" t="s">
        <v>503</v>
      </c>
      <c r="F676" s="3">
        <v>-0.08</v>
      </c>
    </row>
    <row r="677" spans="1:6" ht="15" customHeight="1" x14ac:dyDescent="0.25">
      <c r="A677" s="2" t="s">
        <v>72</v>
      </c>
      <c r="B677" s="2" t="s">
        <v>1120</v>
      </c>
      <c r="C677" s="2" t="s">
        <v>486</v>
      </c>
      <c r="D677" s="2" t="s">
        <v>143</v>
      </c>
      <c r="E677" s="2" t="s">
        <v>1122</v>
      </c>
      <c r="F677" s="3">
        <v>-1.8</v>
      </c>
    </row>
    <row r="678" spans="1:6" ht="15" customHeight="1" x14ac:dyDescent="0.25">
      <c r="A678" s="2" t="s">
        <v>72</v>
      </c>
      <c r="B678" s="2" t="s">
        <v>1120</v>
      </c>
      <c r="C678" s="2" t="s">
        <v>484</v>
      </c>
      <c r="D678" s="2" t="s">
        <v>143</v>
      </c>
      <c r="E678" s="2" t="s">
        <v>1123</v>
      </c>
      <c r="F678" s="3">
        <v>12.01</v>
      </c>
    </row>
    <row r="679" spans="1:6" ht="15" customHeight="1" x14ac:dyDescent="0.25">
      <c r="A679" s="2" t="s">
        <v>72</v>
      </c>
      <c r="B679" s="2" t="s">
        <v>1124</v>
      </c>
      <c r="C679" s="2" t="s">
        <v>486</v>
      </c>
      <c r="D679" s="2" t="s">
        <v>183</v>
      </c>
      <c r="E679" s="2" t="s">
        <v>1125</v>
      </c>
      <c r="F679" s="3">
        <v>-0.22</v>
      </c>
    </row>
    <row r="680" spans="1:6" ht="15" customHeight="1" x14ac:dyDescent="0.25">
      <c r="A680" s="2" t="s">
        <v>72</v>
      </c>
      <c r="B680" s="2" t="s">
        <v>1124</v>
      </c>
      <c r="C680" s="2" t="s">
        <v>484</v>
      </c>
      <c r="D680" s="2" t="s">
        <v>183</v>
      </c>
      <c r="E680" s="2" t="s">
        <v>1126</v>
      </c>
      <c r="F680" s="3">
        <v>1.51</v>
      </c>
    </row>
    <row r="681" spans="1:6" ht="15" customHeight="1" x14ac:dyDescent="0.25">
      <c r="A681" s="2" t="s">
        <v>72</v>
      </c>
      <c r="B681" s="2" t="s">
        <v>1127</v>
      </c>
      <c r="C681" s="2" t="s">
        <v>484</v>
      </c>
      <c r="D681" s="2" t="s">
        <v>152</v>
      </c>
      <c r="E681" s="2" t="s">
        <v>1128</v>
      </c>
      <c r="F681" s="3">
        <v>84.14</v>
      </c>
    </row>
    <row r="682" spans="1:6" ht="15" customHeight="1" x14ac:dyDescent="0.25">
      <c r="A682" s="2" t="s">
        <v>72</v>
      </c>
      <c r="B682" s="2" t="s">
        <v>1127</v>
      </c>
      <c r="C682" s="2" t="s">
        <v>484</v>
      </c>
      <c r="D682" s="2" t="s">
        <v>164</v>
      </c>
      <c r="E682" s="2" t="s">
        <v>1129</v>
      </c>
      <c r="F682" s="3">
        <v>5.41</v>
      </c>
    </row>
    <row r="683" spans="1:6" ht="15" customHeight="1" x14ac:dyDescent="0.25">
      <c r="A683" s="2" t="s">
        <v>72</v>
      </c>
      <c r="B683" s="2" t="s">
        <v>1127</v>
      </c>
      <c r="C683" s="2" t="s">
        <v>486</v>
      </c>
      <c r="D683" s="2" t="s">
        <v>164</v>
      </c>
      <c r="E683" s="2" t="s">
        <v>1130</v>
      </c>
      <c r="F683" s="3">
        <v>-0.81</v>
      </c>
    </row>
    <row r="684" spans="1:6" ht="15" customHeight="1" x14ac:dyDescent="0.25">
      <c r="A684" s="2" t="s">
        <v>72</v>
      </c>
      <c r="B684" s="2" t="s">
        <v>1127</v>
      </c>
      <c r="C684" s="2" t="s">
        <v>486</v>
      </c>
      <c r="D684" s="2" t="s">
        <v>152</v>
      </c>
      <c r="E684" s="2" t="s">
        <v>1131</v>
      </c>
      <c r="F684" s="3">
        <v>-12.62</v>
      </c>
    </row>
    <row r="685" spans="1:6" ht="15" customHeight="1" x14ac:dyDescent="0.25">
      <c r="A685" s="2" t="s">
        <v>72</v>
      </c>
      <c r="B685" s="2" t="s">
        <v>1132</v>
      </c>
      <c r="C685" s="2" t="s">
        <v>486</v>
      </c>
      <c r="D685" s="2" t="s">
        <v>179</v>
      </c>
      <c r="E685" s="2" t="s">
        <v>589</v>
      </c>
      <c r="F685" s="3">
        <v>-1.08</v>
      </c>
    </row>
    <row r="686" spans="1:6" ht="15" customHeight="1" x14ac:dyDescent="0.25">
      <c r="A686" s="2" t="s">
        <v>72</v>
      </c>
      <c r="B686" s="2" t="s">
        <v>1132</v>
      </c>
      <c r="C686" s="2" t="s">
        <v>486</v>
      </c>
      <c r="D686" s="2" t="s">
        <v>154</v>
      </c>
      <c r="E686" s="2" t="s">
        <v>1004</v>
      </c>
      <c r="F686" s="3">
        <v>-0.11</v>
      </c>
    </row>
    <row r="687" spans="1:6" ht="15" customHeight="1" x14ac:dyDescent="0.25">
      <c r="A687" s="2" t="s">
        <v>72</v>
      </c>
      <c r="B687" s="2" t="s">
        <v>1132</v>
      </c>
      <c r="C687" s="2" t="s">
        <v>484</v>
      </c>
      <c r="D687" s="2" t="s">
        <v>154</v>
      </c>
      <c r="E687" s="2" t="s">
        <v>1133</v>
      </c>
      <c r="F687" s="3">
        <v>0.74</v>
      </c>
    </row>
    <row r="688" spans="1:6" ht="15" customHeight="1" x14ac:dyDescent="0.25">
      <c r="A688" s="2" t="s">
        <v>72</v>
      </c>
      <c r="B688" s="2" t="s">
        <v>1132</v>
      </c>
      <c r="C688" s="2" t="s">
        <v>484</v>
      </c>
      <c r="D688" s="2" t="s">
        <v>179</v>
      </c>
      <c r="E688" s="2" t="s">
        <v>1134</v>
      </c>
      <c r="F688" s="3">
        <v>7.25</v>
      </c>
    </row>
    <row r="689" spans="1:6" ht="15" customHeight="1" x14ac:dyDescent="0.25">
      <c r="A689" s="2" t="s">
        <v>72</v>
      </c>
      <c r="B689" s="2" t="s">
        <v>362</v>
      </c>
      <c r="C689" s="2" t="s">
        <v>486</v>
      </c>
      <c r="D689" s="2" t="s">
        <v>132</v>
      </c>
      <c r="E689" s="2" t="s">
        <v>1135</v>
      </c>
      <c r="F689" s="3">
        <v>-3.2</v>
      </c>
    </row>
    <row r="690" spans="1:6" ht="15" customHeight="1" x14ac:dyDescent="0.25">
      <c r="A690" s="2" t="s">
        <v>72</v>
      </c>
      <c r="B690" s="2" t="s">
        <v>362</v>
      </c>
      <c r="C690" s="2" t="s">
        <v>486</v>
      </c>
      <c r="D690" s="2" t="s">
        <v>164</v>
      </c>
      <c r="E690" s="2" t="s">
        <v>1136</v>
      </c>
      <c r="F690" s="3">
        <v>-0.92</v>
      </c>
    </row>
    <row r="691" spans="1:6" ht="15" customHeight="1" x14ac:dyDescent="0.25">
      <c r="A691" s="2" t="s">
        <v>72</v>
      </c>
      <c r="B691" s="2" t="s">
        <v>362</v>
      </c>
      <c r="C691" s="2" t="s">
        <v>484</v>
      </c>
      <c r="D691" s="2" t="s">
        <v>132</v>
      </c>
      <c r="E691" s="2" t="s">
        <v>1137</v>
      </c>
      <c r="F691" s="3">
        <v>21.38</v>
      </c>
    </row>
    <row r="692" spans="1:6" ht="15" customHeight="1" x14ac:dyDescent="0.25">
      <c r="A692" s="2" t="s">
        <v>72</v>
      </c>
      <c r="B692" s="2" t="s">
        <v>362</v>
      </c>
      <c r="C692" s="2" t="s">
        <v>484</v>
      </c>
      <c r="D692" s="2" t="s">
        <v>164</v>
      </c>
      <c r="E692" s="2" t="s">
        <v>1138</v>
      </c>
      <c r="F692" s="3">
        <v>6.16</v>
      </c>
    </row>
    <row r="693" spans="1:6" ht="15" customHeight="1" x14ac:dyDescent="0.25">
      <c r="A693" s="2" t="s">
        <v>72</v>
      </c>
      <c r="B693" s="2" t="s">
        <v>1139</v>
      </c>
      <c r="C693" s="2" t="s">
        <v>484</v>
      </c>
      <c r="D693" s="2" t="s">
        <v>145</v>
      </c>
      <c r="E693" s="2" t="s">
        <v>1140</v>
      </c>
      <c r="F693" s="3">
        <v>56.82</v>
      </c>
    </row>
    <row r="694" spans="1:6" ht="15" customHeight="1" x14ac:dyDescent="0.25">
      <c r="A694" s="2" t="s">
        <v>72</v>
      </c>
      <c r="B694" s="2" t="s">
        <v>1139</v>
      </c>
      <c r="C694" s="2" t="s">
        <v>486</v>
      </c>
      <c r="D694" s="2" t="s">
        <v>158</v>
      </c>
      <c r="E694" s="2" t="s">
        <v>1141</v>
      </c>
      <c r="F694" s="3">
        <v>-1.1399999999999999</v>
      </c>
    </row>
    <row r="695" spans="1:6" ht="15" customHeight="1" x14ac:dyDescent="0.25">
      <c r="A695" s="2" t="s">
        <v>72</v>
      </c>
      <c r="B695" s="2" t="s">
        <v>1139</v>
      </c>
      <c r="C695" s="2" t="s">
        <v>486</v>
      </c>
      <c r="D695" s="2" t="s">
        <v>134</v>
      </c>
      <c r="E695" s="2" t="s">
        <v>1142</v>
      </c>
      <c r="F695" s="3">
        <v>-1.38</v>
      </c>
    </row>
    <row r="696" spans="1:6" ht="15" customHeight="1" x14ac:dyDescent="0.25">
      <c r="A696" s="2" t="s">
        <v>72</v>
      </c>
      <c r="B696" s="2" t="s">
        <v>1139</v>
      </c>
      <c r="C696" s="2" t="s">
        <v>486</v>
      </c>
      <c r="D696" s="2" t="s">
        <v>145</v>
      </c>
      <c r="E696" s="2" t="s">
        <v>1143</v>
      </c>
      <c r="F696" s="3">
        <v>-8.52</v>
      </c>
    </row>
    <row r="697" spans="1:6" ht="15" customHeight="1" x14ac:dyDescent="0.25">
      <c r="A697" s="2" t="s">
        <v>72</v>
      </c>
      <c r="B697" s="2" t="s">
        <v>1139</v>
      </c>
      <c r="C697" s="2" t="s">
        <v>486</v>
      </c>
      <c r="D697" s="2" t="s">
        <v>194</v>
      </c>
      <c r="E697" s="2" t="s">
        <v>1144</v>
      </c>
      <c r="F697" s="3">
        <v>-8.4499999999999993</v>
      </c>
    </row>
    <row r="698" spans="1:6" ht="15" customHeight="1" x14ac:dyDescent="0.25">
      <c r="A698" s="2" t="s">
        <v>72</v>
      </c>
      <c r="B698" s="2" t="s">
        <v>1139</v>
      </c>
      <c r="C698" s="2" t="s">
        <v>486</v>
      </c>
      <c r="D698" s="2" t="s">
        <v>136</v>
      </c>
      <c r="E698" s="2" t="s">
        <v>1046</v>
      </c>
      <c r="F698" s="3">
        <v>-0.72</v>
      </c>
    </row>
    <row r="699" spans="1:6" ht="15" customHeight="1" x14ac:dyDescent="0.25">
      <c r="A699" s="2" t="s">
        <v>72</v>
      </c>
      <c r="B699" s="2" t="s">
        <v>1139</v>
      </c>
      <c r="C699" s="2" t="s">
        <v>486</v>
      </c>
      <c r="D699" s="2" t="s">
        <v>164</v>
      </c>
      <c r="E699" s="2" t="s">
        <v>586</v>
      </c>
      <c r="F699" s="3">
        <v>-0.9</v>
      </c>
    </row>
    <row r="700" spans="1:6" ht="15" customHeight="1" x14ac:dyDescent="0.25">
      <c r="A700" s="2" t="s">
        <v>72</v>
      </c>
      <c r="B700" s="2" t="s">
        <v>1139</v>
      </c>
      <c r="C700" s="2" t="s">
        <v>484</v>
      </c>
      <c r="D700" s="2" t="s">
        <v>158</v>
      </c>
      <c r="E700" s="2" t="s">
        <v>1145</v>
      </c>
      <c r="F700" s="3">
        <v>7.64</v>
      </c>
    </row>
    <row r="701" spans="1:6" ht="15" customHeight="1" x14ac:dyDescent="0.25">
      <c r="A701" s="2" t="s">
        <v>72</v>
      </c>
      <c r="B701" s="2" t="s">
        <v>1139</v>
      </c>
      <c r="C701" s="2" t="s">
        <v>484</v>
      </c>
      <c r="D701" s="2" t="s">
        <v>134</v>
      </c>
      <c r="E701" s="2" t="s">
        <v>1146</v>
      </c>
      <c r="F701" s="3">
        <v>9.2200000000000006</v>
      </c>
    </row>
    <row r="702" spans="1:6" ht="15" customHeight="1" x14ac:dyDescent="0.25">
      <c r="A702" s="2" t="s">
        <v>72</v>
      </c>
      <c r="B702" s="2" t="s">
        <v>1139</v>
      </c>
      <c r="C702" s="2" t="s">
        <v>484</v>
      </c>
      <c r="D702" s="2" t="s">
        <v>194</v>
      </c>
      <c r="E702" s="2" t="s">
        <v>1147</v>
      </c>
      <c r="F702" s="3">
        <v>56.35</v>
      </c>
    </row>
    <row r="703" spans="1:6" ht="15" customHeight="1" x14ac:dyDescent="0.25">
      <c r="A703" s="2" t="s">
        <v>72</v>
      </c>
      <c r="B703" s="2" t="s">
        <v>1139</v>
      </c>
      <c r="C703" s="2" t="s">
        <v>484</v>
      </c>
      <c r="D703" s="2" t="s">
        <v>136</v>
      </c>
      <c r="E703" s="2" t="s">
        <v>1148</v>
      </c>
      <c r="F703" s="3">
        <v>4.83</v>
      </c>
    </row>
    <row r="704" spans="1:6" ht="15" customHeight="1" x14ac:dyDescent="0.25">
      <c r="A704" s="2" t="s">
        <v>72</v>
      </c>
      <c r="B704" s="2" t="s">
        <v>1139</v>
      </c>
      <c r="C704" s="2" t="s">
        <v>484</v>
      </c>
      <c r="D704" s="2" t="s">
        <v>164</v>
      </c>
      <c r="E704" s="2" t="s">
        <v>1149</v>
      </c>
      <c r="F704" s="3">
        <v>6</v>
      </c>
    </row>
    <row r="705" spans="1:6" ht="15" customHeight="1" x14ac:dyDescent="0.25">
      <c r="A705" s="2" t="s">
        <v>72</v>
      </c>
      <c r="B705" s="2" t="s">
        <v>364</v>
      </c>
      <c r="C705" s="2" t="s">
        <v>486</v>
      </c>
      <c r="D705" s="2" t="s">
        <v>170</v>
      </c>
      <c r="E705" s="2" t="s">
        <v>1150</v>
      </c>
      <c r="F705" s="3">
        <v>-0.25</v>
      </c>
    </row>
    <row r="706" spans="1:6" ht="15" customHeight="1" x14ac:dyDescent="0.25">
      <c r="A706" s="2" t="s">
        <v>72</v>
      </c>
      <c r="B706" s="2" t="s">
        <v>364</v>
      </c>
      <c r="C706" s="2" t="s">
        <v>486</v>
      </c>
      <c r="D706" s="2" t="s">
        <v>117</v>
      </c>
      <c r="E706" s="2" t="s">
        <v>976</v>
      </c>
      <c r="F706" s="3">
        <v>-0.93</v>
      </c>
    </row>
    <row r="707" spans="1:6" ht="15" customHeight="1" x14ac:dyDescent="0.25">
      <c r="A707" s="2" t="s">
        <v>72</v>
      </c>
      <c r="B707" s="2" t="s">
        <v>364</v>
      </c>
      <c r="C707" s="2" t="s">
        <v>486</v>
      </c>
      <c r="D707" s="2" t="s">
        <v>123</v>
      </c>
      <c r="E707" s="2" t="s">
        <v>886</v>
      </c>
      <c r="F707" s="3">
        <v>-0.43</v>
      </c>
    </row>
    <row r="708" spans="1:6" ht="15" customHeight="1" x14ac:dyDescent="0.25">
      <c r="A708" s="2" t="s">
        <v>72</v>
      </c>
      <c r="B708" s="2" t="s">
        <v>364</v>
      </c>
      <c r="C708" s="2" t="s">
        <v>484</v>
      </c>
      <c r="D708" s="2" t="s">
        <v>170</v>
      </c>
      <c r="E708" s="2" t="s">
        <v>1151</v>
      </c>
      <c r="F708" s="3">
        <v>1.69</v>
      </c>
    </row>
    <row r="709" spans="1:6" ht="15" customHeight="1" x14ac:dyDescent="0.25">
      <c r="A709" s="2" t="s">
        <v>72</v>
      </c>
      <c r="B709" s="2" t="s">
        <v>364</v>
      </c>
      <c r="C709" s="2" t="s">
        <v>484</v>
      </c>
      <c r="D709" s="2" t="s">
        <v>117</v>
      </c>
      <c r="E709" s="2" t="s">
        <v>1152</v>
      </c>
      <c r="F709" s="3">
        <v>6.2</v>
      </c>
    </row>
    <row r="710" spans="1:6" ht="15" customHeight="1" x14ac:dyDescent="0.25">
      <c r="A710" s="2" t="s">
        <v>72</v>
      </c>
      <c r="B710" s="2" t="s">
        <v>364</v>
      </c>
      <c r="C710" s="2" t="s">
        <v>484</v>
      </c>
      <c r="D710" s="2" t="s">
        <v>123</v>
      </c>
      <c r="E710" s="2" t="s">
        <v>1153</v>
      </c>
      <c r="F710" s="3">
        <v>2.91</v>
      </c>
    </row>
    <row r="711" spans="1:6" ht="15" customHeight="1" x14ac:dyDescent="0.25">
      <c r="A711" s="2" t="s">
        <v>72</v>
      </c>
      <c r="B711" s="2" t="s">
        <v>1154</v>
      </c>
      <c r="C711" s="2" t="s">
        <v>484</v>
      </c>
      <c r="D711" s="2" t="s">
        <v>181</v>
      </c>
      <c r="E711" s="2" t="s">
        <v>1155</v>
      </c>
      <c r="F711" s="3">
        <v>2.59</v>
      </c>
    </row>
    <row r="712" spans="1:6" ht="15" customHeight="1" x14ac:dyDescent="0.25">
      <c r="A712" s="2" t="s">
        <v>72</v>
      </c>
      <c r="B712" s="2" t="s">
        <v>1154</v>
      </c>
      <c r="C712" s="2" t="s">
        <v>486</v>
      </c>
      <c r="D712" s="2" t="s">
        <v>181</v>
      </c>
      <c r="E712" s="2" t="s">
        <v>1156</v>
      </c>
      <c r="F712" s="3">
        <v>-0.38</v>
      </c>
    </row>
    <row r="713" spans="1:6" ht="15" customHeight="1" x14ac:dyDescent="0.25">
      <c r="A713" s="2" t="s">
        <v>72</v>
      </c>
      <c r="B713" s="2" t="s">
        <v>1157</v>
      </c>
      <c r="C713" s="2" t="s">
        <v>486</v>
      </c>
      <c r="D713" s="2" t="s">
        <v>138</v>
      </c>
      <c r="E713" s="2" t="s">
        <v>647</v>
      </c>
      <c r="F713" s="3">
        <v>-0.28999999999999998</v>
      </c>
    </row>
    <row r="714" spans="1:6" ht="15" customHeight="1" x14ac:dyDescent="0.25">
      <c r="A714" s="2" t="s">
        <v>72</v>
      </c>
      <c r="B714" s="2" t="s">
        <v>1157</v>
      </c>
      <c r="C714" s="2" t="s">
        <v>486</v>
      </c>
      <c r="D714" s="2" t="s">
        <v>187</v>
      </c>
      <c r="E714" s="2" t="s">
        <v>1158</v>
      </c>
      <c r="F714" s="3">
        <v>-0.37</v>
      </c>
    </row>
    <row r="715" spans="1:6" ht="15" customHeight="1" x14ac:dyDescent="0.25">
      <c r="A715" s="2" t="s">
        <v>72</v>
      </c>
      <c r="B715" s="2" t="s">
        <v>1157</v>
      </c>
      <c r="C715" s="2" t="s">
        <v>484</v>
      </c>
      <c r="D715" s="2" t="s">
        <v>138</v>
      </c>
      <c r="E715" s="2" t="s">
        <v>1159</v>
      </c>
      <c r="F715" s="3">
        <v>1.95</v>
      </c>
    </row>
    <row r="716" spans="1:6" ht="15" customHeight="1" x14ac:dyDescent="0.25">
      <c r="A716" s="2" t="s">
        <v>72</v>
      </c>
      <c r="B716" s="2" t="s">
        <v>1157</v>
      </c>
      <c r="C716" s="2" t="s">
        <v>484</v>
      </c>
      <c r="D716" s="2" t="s">
        <v>187</v>
      </c>
      <c r="E716" s="2" t="s">
        <v>1160</v>
      </c>
      <c r="F716" s="3">
        <v>2.52</v>
      </c>
    </row>
    <row r="717" spans="1:6" ht="15" customHeight="1" x14ac:dyDescent="0.25">
      <c r="A717" s="2" t="s">
        <v>72</v>
      </c>
      <c r="B717" s="2" t="s">
        <v>1161</v>
      </c>
      <c r="C717" s="2" t="s">
        <v>486</v>
      </c>
      <c r="D717" s="2" t="s">
        <v>140</v>
      </c>
      <c r="E717" s="2" t="s">
        <v>1162</v>
      </c>
      <c r="F717" s="3">
        <v>-11.18</v>
      </c>
    </row>
    <row r="718" spans="1:6" ht="15" customHeight="1" x14ac:dyDescent="0.25">
      <c r="A718" s="2" t="s">
        <v>72</v>
      </c>
      <c r="B718" s="2" t="s">
        <v>1161</v>
      </c>
      <c r="C718" s="2" t="s">
        <v>486</v>
      </c>
      <c r="D718" s="2" t="s">
        <v>160</v>
      </c>
      <c r="E718" s="2" t="s">
        <v>1097</v>
      </c>
      <c r="F718" s="3">
        <v>-0.62</v>
      </c>
    </row>
    <row r="719" spans="1:6" ht="15" customHeight="1" x14ac:dyDescent="0.25">
      <c r="A719" s="2" t="s">
        <v>72</v>
      </c>
      <c r="B719" s="2" t="s">
        <v>1161</v>
      </c>
      <c r="C719" s="2" t="s">
        <v>486</v>
      </c>
      <c r="D719" s="2" t="s">
        <v>121</v>
      </c>
      <c r="E719" s="2" t="s">
        <v>1163</v>
      </c>
      <c r="F719" s="3">
        <v>-3.35</v>
      </c>
    </row>
    <row r="720" spans="1:6" ht="15" customHeight="1" x14ac:dyDescent="0.25">
      <c r="A720" s="2" t="s">
        <v>72</v>
      </c>
      <c r="B720" s="2" t="s">
        <v>1161</v>
      </c>
      <c r="C720" s="2" t="s">
        <v>486</v>
      </c>
      <c r="D720" s="2" t="s">
        <v>190</v>
      </c>
      <c r="E720" s="2" t="s">
        <v>1164</v>
      </c>
      <c r="F720" s="3">
        <v>-0.32</v>
      </c>
    </row>
    <row r="721" spans="1:6" ht="15" customHeight="1" x14ac:dyDescent="0.25">
      <c r="A721" s="2" t="s">
        <v>72</v>
      </c>
      <c r="B721" s="2" t="s">
        <v>1161</v>
      </c>
      <c r="C721" s="2" t="s">
        <v>486</v>
      </c>
      <c r="D721" s="2" t="s">
        <v>164</v>
      </c>
      <c r="E721" s="2" t="s">
        <v>1165</v>
      </c>
      <c r="F721" s="3">
        <v>-1.03</v>
      </c>
    </row>
    <row r="722" spans="1:6" ht="15" customHeight="1" x14ac:dyDescent="0.25">
      <c r="A722" s="2" t="s">
        <v>72</v>
      </c>
      <c r="B722" s="2" t="s">
        <v>1161</v>
      </c>
      <c r="C722" s="2" t="s">
        <v>484</v>
      </c>
      <c r="D722" s="2" t="s">
        <v>140</v>
      </c>
      <c r="E722" s="2" t="s">
        <v>1166</v>
      </c>
      <c r="F722" s="3">
        <v>74.55</v>
      </c>
    </row>
    <row r="723" spans="1:6" ht="15" customHeight="1" x14ac:dyDescent="0.25">
      <c r="A723" s="2" t="s">
        <v>72</v>
      </c>
      <c r="B723" s="2" t="s">
        <v>1161</v>
      </c>
      <c r="C723" s="2" t="s">
        <v>484</v>
      </c>
      <c r="D723" s="2" t="s">
        <v>160</v>
      </c>
      <c r="E723" s="2" t="s">
        <v>1167</v>
      </c>
      <c r="F723" s="3">
        <v>4.18</v>
      </c>
    </row>
    <row r="724" spans="1:6" ht="15" customHeight="1" x14ac:dyDescent="0.25">
      <c r="A724" s="2" t="s">
        <v>72</v>
      </c>
      <c r="B724" s="2" t="s">
        <v>1161</v>
      </c>
      <c r="C724" s="2" t="s">
        <v>484</v>
      </c>
      <c r="D724" s="2" t="s">
        <v>121</v>
      </c>
      <c r="E724" s="2" t="s">
        <v>1168</v>
      </c>
      <c r="F724" s="3">
        <v>22.34</v>
      </c>
    </row>
    <row r="725" spans="1:6" ht="15" customHeight="1" x14ac:dyDescent="0.25">
      <c r="A725" s="2" t="s">
        <v>72</v>
      </c>
      <c r="B725" s="2" t="s">
        <v>1161</v>
      </c>
      <c r="C725" s="2" t="s">
        <v>484</v>
      </c>
      <c r="D725" s="2" t="s">
        <v>190</v>
      </c>
      <c r="E725" s="2" t="s">
        <v>1169</v>
      </c>
      <c r="F725" s="3">
        <v>2.17</v>
      </c>
    </row>
    <row r="726" spans="1:6" ht="15" customHeight="1" x14ac:dyDescent="0.25">
      <c r="A726" s="2" t="s">
        <v>72</v>
      </c>
      <c r="B726" s="2" t="s">
        <v>1161</v>
      </c>
      <c r="C726" s="2" t="s">
        <v>484</v>
      </c>
      <c r="D726" s="2" t="s">
        <v>164</v>
      </c>
      <c r="E726" s="2" t="s">
        <v>1170</v>
      </c>
      <c r="F726" s="3">
        <v>6.93</v>
      </c>
    </row>
    <row r="727" spans="1:6" ht="15" customHeight="1" x14ac:dyDescent="0.25">
      <c r="A727" s="2" t="s">
        <v>74</v>
      </c>
      <c r="B727" s="2" t="s">
        <v>1171</v>
      </c>
      <c r="C727" s="2" t="s">
        <v>486</v>
      </c>
      <c r="D727" s="2" t="s">
        <v>129</v>
      </c>
      <c r="E727" s="2" t="s">
        <v>1172</v>
      </c>
      <c r="F727" s="3">
        <v>-2.0699999999999998</v>
      </c>
    </row>
    <row r="728" spans="1:6" ht="15" customHeight="1" x14ac:dyDescent="0.25">
      <c r="A728" s="2" t="s">
        <v>74</v>
      </c>
      <c r="B728" s="2" t="s">
        <v>1171</v>
      </c>
      <c r="C728" s="2" t="s">
        <v>484</v>
      </c>
      <c r="D728" s="2" t="s">
        <v>129</v>
      </c>
      <c r="E728" s="2" t="s">
        <v>1173</v>
      </c>
      <c r="F728" s="3">
        <v>13.8</v>
      </c>
    </row>
    <row r="729" spans="1:6" ht="15" customHeight="1" x14ac:dyDescent="0.25">
      <c r="A729" s="2" t="s">
        <v>74</v>
      </c>
      <c r="B729" s="2" t="s">
        <v>1174</v>
      </c>
      <c r="C729" s="2" t="s">
        <v>486</v>
      </c>
      <c r="D729" s="2" t="s">
        <v>166</v>
      </c>
      <c r="E729" s="2" t="s">
        <v>1094</v>
      </c>
      <c r="F729" s="3">
        <v>-0.31</v>
      </c>
    </row>
    <row r="730" spans="1:6" ht="15" customHeight="1" x14ac:dyDescent="0.25">
      <c r="A730" s="2" t="s">
        <v>74</v>
      </c>
      <c r="B730" s="2" t="s">
        <v>1174</v>
      </c>
      <c r="C730" s="2" t="s">
        <v>486</v>
      </c>
      <c r="D730" s="2" t="s">
        <v>127</v>
      </c>
      <c r="E730" s="2" t="s">
        <v>1175</v>
      </c>
      <c r="F730" s="3">
        <v>-1.91</v>
      </c>
    </row>
    <row r="731" spans="1:6" ht="15" customHeight="1" x14ac:dyDescent="0.25">
      <c r="A731" s="2" t="s">
        <v>74</v>
      </c>
      <c r="B731" s="2" t="s">
        <v>1174</v>
      </c>
      <c r="C731" s="2" t="s">
        <v>486</v>
      </c>
      <c r="D731" s="2" t="s">
        <v>115</v>
      </c>
      <c r="E731" s="2" t="s">
        <v>1176</v>
      </c>
      <c r="F731" s="3">
        <v>-3.44</v>
      </c>
    </row>
    <row r="732" spans="1:6" ht="15" customHeight="1" x14ac:dyDescent="0.25">
      <c r="A732" s="2" t="s">
        <v>74</v>
      </c>
      <c r="B732" s="2" t="s">
        <v>1174</v>
      </c>
      <c r="C732" s="2" t="s">
        <v>486</v>
      </c>
      <c r="D732" s="2" t="s">
        <v>119</v>
      </c>
      <c r="E732" s="2" t="s">
        <v>1177</v>
      </c>
      <c r="F732" s="3">
        <v>-2.4</v>
      </c>
    </row>
    <row r="733" spans="1:6" ht="15" customHeight="1" x14ac:dyDescent="0.25">
      <c r="A733" s="2" t="s">
        <v>74</v>
      </c>
      <c r="B733" s="2" t="s">
        <v>1174</v>
      </c>
      <c r="C733" s="2" t="s">
        <v>486</v>
      </c>
      <c r="D733" s="2" t="s">
        <v>162</v>
      </c>
      <c r="E733" s="2" t="s">
        <v>1178</v>
      </c>
      <c r="F733" s="3">
        <v>-0.87</v>
      </c>
    </row>
    <row r="734" spans="1:6" ht="15" customHeight="1" x14ac:dyDescent="0.25">
      <c r="A734" s="2" t="s">
        <v>74</v>
      </c>
      <c r="B734" s="2" t="s">
        <v>1174</v>
      </c>
      <c r="C734" s="2" t="s">
        <v>484</v>
      </c>
      <c r="D734" s="2" t="s">
        <v>166</v>
      </c>
      <c r="E734" s="2" t="s">
        <v>1179</v>
      </c>
      <c r="F734" s="3">
        <v>2.09</v>
      </c>
    </row>
    <row r="735" spans="1:6" ht="15" customHeight="1" x14ac:dyDescent="0.25">
      <c r="A735" s="2" t="s">
        <v>74</v>
      </c>
      <c r="B735" s="2" t="s">
        <v>1174</v>
      </c>
      <c r="C735" s="2" t="s">
        <v>484</v>
      </c>
      <c r="D735" s="2" t="s">
        <v>127</v>
      </c>
      <c r="E735" s="2" t="s">
        <v>1180</v>
      </c>
      <c r="F735" s="3">
        <v>12.78</v>
      </c>
    </row>
    <row r="736" spans="1:6" ht="15" customHeight="1" x14ac:dyDescent="0.25">
      <c r="A736" s="2" t="s">
        <v>74</v>
      </c>
      <c r="B736" s="2" t="s">
        <v>1174</v>
      </c>
      <c r="C736" s="2" t="s">
        <v>484</v>
      </c>
      <c r="D736" s="2" t="s">
        <v>115</v>
      </c>
      <c r="E736" s="2" t="s">
        <v>1181</v>
      </c>
      <c r="F736" s="3">
        <v>22.95</v>
      </c>
    </row>
    <row r="737" spans="1:6" ht="15" customHeight="1" x14ac:dyDescent="0.25">
      <c r="A737" s="2" t="s">
        <v>74</v>
      </c>
      <c r="B737" s="2" t="s">
        <v>1174</v>
      </c>
      <c r="C737" s="2" t="s">
        <v>484</v>
      </c>
      <c r="D737" s="2" t="s">
        <v>119</v>
      </c>
      <c r="E737" s="2" t="s">
        <v>1182</v>
      </c>
      <c r="F737" s="3">
        <v>16.03</v>
      </c>
    </row>
    <row r="738" spans="1:6" ht="15" customHeight="1" x14ac:dyDescent="0.25">
      <c r="A738" s="2" t="s">
        <v>74</v>
      </c>
      <c r="B738" s="2" t="s">
        <v>1174</v>
      </c>
      <c r="C738" s="2" t="s">
        <v>484</v>
      </c>
      <c r="D738" s="2" t="s">
        <v>162</v>
      </c>
      <c r="E738" s="2" t="s">
        <v>1183</v>
      </c>
      <c r="F738" s="3">
        <v>5.86</v>
      </c>
    </row>
    <row r="739" spans="1:6" ht="15" customHeight="1" x14ac:dyDescent="0.25">
      <c r="A739" s="2" t="s">
        <v>74</v>
      </c>
      <c r="B739" s="2" t="s">
        <v>1184</v>
      </c>
      <c r="C739" s="2" t="s">
        <v>486</v>
      </c>
      <c r="D739" s="2" t="s">
        <v>143</v>
      </c>
      <c r="E739" s="2" t="s">
        <v>1185</v>
      </c>
      <c r="F739" s="3">
        <v>-1.69</v>
      </c>
    </row>
    <row r="740" spans="1:6" ht="15" customHeight="1" x14ac:dyDescent="0.25">
      <c r="A740" s="2" t="s">
        <v>74</v>
      </c>
      <c r="B740" s="2" t="s">
        <v>1184</v>
      </c>
      <c r="C740" s="2" t="s">
        <v>486</v>
      </c>
      <c r="D740" s="2" t="s">
        <v>185</v>
      </c>
      <c r="E740" s="2" t="s">
        <v>679</v>
      </c>
      <c r="F740" s="3">
        <v>-0.06</v>
      </c>
    </row>
    <row r="741" spans="1:6" ht="15" customHeight="1" x14ac:dyDescent="0.25">
      <c r="A741" s="2" t="s">
        <v>74</v>
      </c>
      <c r="B741" s="2" t="s">
        <v>1184</v>
      </c>
      <c r="C741" s="2" t="s">
        <v>486</v>
      </c>
      <c r="D741" s="2" t="s">
        <v>164</v>
      </c>
      <c r="E741" s="2" t="s">
        <v>1186</v>
      </c>
      <c r="F741" s="3">
        <v>-0.83</v>
      </c>
    </row>
    <row r="742" spans="1:6" ht="15" customHeight="1" x14ac:dyDescent="0.25">
      <c r="A742" s="2" t="s">
        <v>74</v>
      </c>
      <c r="B742" s="2" t="s">
        <v>1184</v>
      </c>
      <c r="C742" s="2" t="s">
        <v>486</v>
      </c>
      <c r="D742" s="2" t="s">
        <v>152</v>
      </c>
      <c r="E742" s="2" t="s">
        <v>1187</v>
      </c>
      <c r="F742" s="3">
        <v>-8.09</v>
      </c>
    </row>
    <row r="743" spans="1:6" ht="15" customHeight="1" x14ac:dyDescent="0.25">
      <c r="A743" s="2" t="s">
        <v>74</v>
      </c>
      <c r="B743" s="2" t="s">
        <v>1184</v>
      </c>
      <c r="C743" s="2" t="s">
        <v>484</v>
      </c>
      <c r="D743" s="2" t="s">
        <v>143</v>
      </c>
      <c r="E743" s="2" t="s">
        <v>1188</v>
      </c>
      <c r="F743" s="3">
        <v>11.27</v>
      </c>
    </row>
    <row r="744" spans="1:6" ht="15" customHeight="1" x14ac:dyDescent="0.25">
      <c r="A744" s="2" t="s">
        <v>74</v>
      </c>
      <c r="B744" s="2" t="s">
        <v>1184</v>
      </c>
      <c r="C744" s="2" t="s">
        <v>484</v>
      </c>
      <c r="D744" s="2" t="s">
        <v>185</v>
      </c>
      <c r="E744" s="2" t="s">
        <v>1189</v>
      </c>
      <c r="F744" s="3">
        <v>0.45</v>
      </c>
    </row>
    <row r="745" spans="1:6" ht="15" customHeight="1" x14ac:dyDescent="0.25">
      <c r="A745" s="2" t="s">
        <v>74</v>
      </c>
      <c r="B745" s="2" t="s">
        <v>1184</v>
      </c>
      <c r="C745" s="2" t="s">
        <v>484</v>
      </c>
      <c r="D745" s="2" t="s">
        <v>164</v>
      </c>
      <c r="E745" s="2" t="s">
        <v>1190</v>
      </c>
      <c r="F745" s="3">
        <v>5.55</v>
      </c>
    </row>
    <row r="746" spans="1:6" ht="15" customHeight="1" x14ac:dyDescent="0.25">
      <c r="A746" s="2" t="s">
        <v>74</v>
      </c>
      <c r="B746" s="2" t="s">
        <v>1184</v>
      </c>
      <c r="C746" s="2" t="s">
        <v>484</v>
      </c>
      <c r="D746" s="2" t="s">
        <v>152</v>
      </c>
      <c r="E746" s="2" t="s">
        <v>1191</v>
      </c>
      <c r="F746" s="3">
        <v>53.95</v>
      </c>
    </row>
    <row r="747" spans="1:6" ht="15" customHeight="1" x14ac:dyDescent="0.25">
      <c r="A747" s="2" t="s">
        <v>74</v>
      </c>
      <c r="B747" s="2" t="s">
        <v>1192</v>
      </c>
      <c r="C747" s="2" t="s">
        <v>486</v>
      </c>
      <c r="D747" s="2" t="s">
        <v>183</v>
      </c>
      <c r="E747" s="2" t="s">
        <v>1193</v>
      </c>
      <c r="F747" s="3">
        <v>-0.26</v>
      </c>
    </row>
    <row r="748" spans="1:6" ht="15" customHeight="1" x14ac:dyDescent="0.25">
      <c r="A748" s="2" t="s">
        <v>74</v>
      </c>
      <c r="B748" s="2" t="s">
        <v>1192</v>
      </c>
      <c r="C748" s="2" t="s">
        <v>484</v>
      </c>
      <c r="D748" s="2" t="s">
        <v>183</v>
      </c>
      <c r="E748" s="2" t="s">
        <v>1194</v>
      </c>
      <c r="F748" s="3">
        <v>1.74</v>
      </c>
    </row>
    <row r="749" spans="1:6" ht="15" customHeight="1" x14ac:dyDescent="0.25">
      <c r="A749" s="2" t="s">
        <v>74</v>
      </c>
      <c r="B749" s="2" t="s">
        <v>367</v>
      </c>
      <c r="C749" s="2" t="s">
        <v>486</v>
      </c>
      <c r="D749" s="2" t="s">
        <v>196</v>
      </c>
      <c r="E749" s="2" t="s">
        <v>1017</v>
      </c>
      <c r="F749" s="3">
        <v>-0.1</v>
      </c>
    </row>
    <row r="750" spans="1:6" ht="15" customHeight="1" x14ac:dyDescent="0.25">
      <c r="A750" s="2" t="s">
        <v>74</v>
      </c>
      <c r="B750" s="2" t="s">
        <v>367</v>
      </c>
      <c r="C750" s="2" t="s">
        <v>484</v>
      </c>
      <c r="D750" s="2" t="s">
        <v>196</v>
      </c>
      <c r="E750" s="2" t="s">
        <v>1195</v>
      </c>
      <c r="F750" s="3">
        <v>0.71</v>
      </c>
    </row>
    <row r="751" spans="1:6" ht="15" customHeight="1" x14ac:dyDescent="0.25">
      <c r="A751" s="2" t="s">
        <v>74</v>
      </c>
      <c r="B751" s="2" t="s">
        <v>368</v>
      </c>
      <c r="C751" s="2" t="s">
        <v>486</v>
      </c>
      <c r="D751" s="2" t="s">
        <v>179</v>
      </c>
      <c r="E751" s="2" t="s">
        <v>589</v>
      </c>
      <c r="F751" s="3">
        <v>-1.08</v>
      </c>
    </row>
    <row r="752" spans="1:6" ht="15" customHeight="1" x14ac:dyDescent="0.25">
      <c r="A752" s="2" t="s">
        <v>74</v>
      </c>
      <c r="B752" s="2" t="s">
        <v>368</v>
      </c>
      <c r="C752" s="2" t="s">
        <v>484</v>
      </c>
      <c r="D752" s="2" t="s">
        <v>179</v>
      </c>
      <c r="E752" s="2" t="s">
        <v>1196</v>
      </c>
      <c r="F752" s="3">
        <v>7.25</v>
      </c>
    </row>
    <row r="753" spans="1:6" ht="15" customHeight="1" x14ac:dyDescent="0.25">
      <c r="A753" s="2" t="s">
        <v>74</v>
      </c>
      <c r="B753" s="2" t="s">
        <v>369</v>
      </c>
      <c r="C753" s="2" t="s">
        <v>486</v>
      </c>
      <c r="D753" s="2" t="s">
        <v>154</v>
      </c>
      <c r="E753" s="2" t="s">
        <v>1004</v>
      </c>
      <c r="F753" s="3">
        <v>-0.11</v>
      </c>
    </row>
    <row r="754" spans="1:6" ht="15" customHeight="1" x14ac:dyDescent="0.25">
      <c r="A754" s="2" t="s">
        <v>74</v>
      </c>
      <c r="B754" s="2" t="s">
        <v>369</v>
      </c>
      <c r="C754" s="2" t="s">
        <v>484</v>
      </c>
      <c r="D754" s="2" t="s">
        <v>154</v>
      </c>
      <c r="E754" s="2" t="s">
        <v>1197</v>
      </c>
      <c r="F754" s="3">
        <v>0.74</v>
      </c>
    </row>
    <row r="755" spans="1:6" ht="15" customHeight="1" x14ac:dyDescent="0.25">
      <c r="A755" s="2" t="s">
        <v>74</v>
      </c>
      <c r="B755" s="2" t="s">
        <v>369</v>
      </c>
      <c r="C755" s="2" t="s">
        <v>486</v>
      </c>
      <c r="D755" s="2" t="s">
        <v>164</v>
      </c>
      <c r="E755" s="2" t="s">
        <v>1198</v>
      </c>
      <c r="F755" s="3">
        <v>-0.87</v>
      </c>
    </row>
    <row r="756" spans="1:6" ht="15" customHeight="1" x14ac:dyDescent="0.25">
      <c r="A756" s="2" t="s">
        <v>74</v>
      </c>
      <c r="B756" s="2" t="s">
        <v>369</v>
      </c>
      <c r="C756" s="2" t="s">
        <v>486</v>
      </c>
      <c r="D756" s="2" t="s">
        <v>132</v>
      </c>
      <c r="E756" s="2" t="s">
        <v>1199</v>
      </c>
      <c r="F756" s="3">
        <v>-3.69</v>
      </c>
    </row>
    <row r="757" spans="1:6" ht="15" customHeight="1" x14ac:dyDescent="0.25">
      <c r="A757" s="2" t="s">
        <v>74</v>
      </c>
      <c r="B757" s="2" t="s">
        <v>369</v>
      </c>
      <c r="C757" s="2" t="s">
        <v>484</v>
      </c>
      <c r="D757" s="2" t="s">
        <v>164</v>
      </c>
      <c r="E757" s="2" t="s">
        <v>1200</v>
      </c>
      <c r="F757" s="3">
        <v>5.81</v>
      </c>
    </row>
    <row r="758" spans="1:6" ht="15" customHeight="1" x14ac:dyDescent="0.25">
      <c r="A758" s="2" t="s">
        <v>74</v>
      </c>
      <c r="B758" s="2" t="s">
        <v>369</v>
      </c>
      <c r="C758" s="2" t="s">
        <v>484</v>
      </c>
      <c r="D758" s="2" t="s">
        <v>132</v>
      </c>
      <c r="E758" s="2" t="s">
        <v>1201</v>
      </c>
      <c r="F758" s="3">
        <v>24.66</v>
      </c>
    </row>
    <row r="759" spans="1:6" ht="15" customHeight="1" x14ac:dyDescent="0.25">
      <c r="A759" s="2" t="s">
        <v>74</v>
      </c>
      <c r="B759" s="2" t="s">
        <v>373</v>
      </c>
      <c r="C759" s="2" t="s">
        <v>486</v>
      </c>
      <c r="D759" s="2" t="s">
        <v>158</v>
      </c>
      <c r="E759" s="2" t="s">
        <v>1202</v>
      </c>
      <c r="F759" s="3">
        <v>-0.96</v>
      </c>
    </row>
    <row r="760" spans="1:6" ht="15" customHeight="1" x14ac:dyDescent="0.25">
      <c r="A760" s="2" t="s">
        <v>74</v>
      </c>
      <c r="B760" s="2" t="s">
        <v>373</v>
      </c>
      <c r="C760" s="2" t="s">
        <v>486</v>
      </c>
      <c r="D760" s="2" t="s">
        <v>194</v>
      </c>
      <c r="E760" s="2" t="s">
        <v>1203</v>
      </c>
      <c r="F760" s="3">
        <v>-3.91</v>
      </c>
    </row>
    <row r="761" spans="1:6" ht="15" customHeight="1" x14ac:dyDescent="0.25">
      <c r="A761" s="2" t="s">
        <v>74</v>
      </c>
      <c r="B761" s="2" t="s">
        <v>373</v>
      </c>
      <c r="C761" s="2" t="s">
        <v>486</v>
      </c>
      <c r="D761" s="2" t="s">
        <v>145</v>
      </c>
      <c r="E761" s="2" t="s">
        <v>1204</v>
      </c>
      <c r="F761" s="3">
        <v>-3.91</v>
      </c>
    </row>
    <row r="762" spans="1:6" ht="15" customHeight="1" x14ac:dyDescent="0.25">
      <c r="A762" s="2" t="s">
        <v>74</v>
      </c>
      <c r="B762" s="2" t="s">
        <v>373</v>
      </c>
      <c r="C762" s="2" t="s">
        <v>486</v>
      </c>
      <c r="D762" s="2" t="s">
        <v>164</v>
      </c>
      <c r="E762" s="2" t="s">
        <v>1205</v>
      </c>
      <c r="F762" s="3">
        <v>-0.68</v>
      </c>
    </row>
    <row r="763" spans="1:6" ht="15" customHeight="1" x14ac:dyDescent="0.25">
      <c r="A763" s="2" t="s">
        <v>74</v>
      </c>
      <c r="B763" s="2" t="s">
        <v>373</v>
      </c>
      <c r="C763" s="2" t="s">
        <v>484</v>
      </c>
      <c r="D763" s="2" t="s">
        <v>158</v>
      </c>
      <c r="E763" s="2" t="s">
        <v>1206</v>
      </c>
      <c r="F763" s="3">
        <v>6.44</v>
      </c>
    </row>
    <row r="764" spans="1:6" ht="15" customHeight="1" x14ac:dyDescent="0.25">
      <c r="A764" s="2" t="s">
        <v>74</v>
      </c>
      <c r="B764" s="2" t="s">
        <v>373</v>
      </c>
      <c r="C764" s="2" t="s">
        <v>484</v>
      </c>
      <c r="D764" s="2" t="s">
        <v>194</v>
      </c>
      <c r="E764" s="2" t="s">
        <v>1207</v>
      </c>
      <c r="F764" s="3">
        <v>26.08</v>
      </c>
    </row>
    <row r="765" spans="1:6" ht="15" customHeight="1" x14ac:dyDescent="0.25">
      <c r="A765" s="2" t="s">
        <v>74</v>
      </c>
      <c r="B765" s="2" t="s">
        <v>373</v>
      </c>
      <c r="C765" s="2" t="s">
        <v>484</v>
      </c>
      <c r="D765" s="2" t="s">
        <v>145</v>
      </c>
      <c r="E765" s="2" t="s">
        <v>1208</v>
      </c>
      <c r="F765" s="3">
        <v>26.1</v>
      </c>
    </row>
    <row r="766" spans="1:6" ht="15" customHeight="1" x14ac:dyDescent="0.25">
      <c r="A766" s="2" t="s">
        <v>74</v>
      </c>
      <c r="B766" s="2" t="s">
        <v>373</v>
      </c>
      <c r="C766" s="2" t="s">
        <v>484</v>
      </c>
      <c r="D766" s="2" t="s">
        <v>164</v>
      </c>
      <c r="E766" s="2" t="s">
        <v>1209</v>
      </c>
      <c r="F766" s="3">
        <v>4.59</v>
      </c>
    </row>
    <row r="767" spans="1:6" ht="15" customHeight="1" x14ac:dyDescent="0.25">
      <c r="A767" s="2" t="s">
        <v>74</v>
      </c>
      <c r="B767" s="2" t="s">
        <v>1210</v>
      </c>
      <c r="C767" s="2" t="s">
        <v>486</v>
      </c>
      <c r="D767" s="2" t="s">
        <v>187</v>
      </c>
      <c r="E767" s="2" t="s">
        <v>1211</v>
      </c>
      <c r="F767" s="3">
        <v>-0.43</v>
      </c>
    </row>
    <row r="768" spans="1:6" ht="15" customHeight="1" x14ac:dyDescent="0.25">
      <c r="A768" s="2" t="s">
        <v>74</v>
      </c>
      <c r="B768" s="2" t="s">
        <v>1210</v>
      </c>
      <c r="C768" s="2" t="s">
        <v>484</v>
      </c>
      <c r="D768" s="2" t="s">
        <v>187</v>
      </c>
      <c r="E768" s="2" t="s">
        <v>1212</v>
      </c>
      <c r="F768" s="3">
        <v>2.88</v>
      </c>
    </row>
    <row r="769" spans="1:6" ht="15" customHeight="1" x14ac:dyDescent="0.25">
      <c r="A769" s="2" t="s">
        <v>74</v>
      </c>
      <c r="B769" s="2" t="s">
        <v>376</v>
      </c>
      <c r="C769" s="2" t="s">
        <v>486</v>
      </c>
      <c r="D769" s="2" t="s">
        <v>140</v>
      </c>
      <c r="E769" s="2" t="s">
        <v>1213</v>
      </c>
      <c r="F769" s="3">
        <v>-8.36</v>
      </c>
    </row>
    <row r="770" spans="1:6" ht="15" customHeight="1" x14ac:dyDescent="0.25">
      <c r="A770" s="2" t="s">
        <v>74</v>
      </c>
      <c r="B770" s="2" t="s">
        <v>376</v>
      </c>
      <c r="C770" s="2" t="s">
        <v>484</v>
      </c>
      <c r="D770" s="2" t="s">
        <v>140</v>
      </c>
      <c r="E770" s="2" t="s">
        <v>1214</v>
      </c>
      <c r="F770" s="3">
        <v>55.78</v>
      </c>
    </row>
    <row r="771" spans="1:6" ht="15" customHeight="1" x14ac:dyDescent="0.25">
      <c r="A771" s="2" t="s">
        <v>74</v>
      </c>
      <c r="B771" s="2" t="s">
        <v>376</v>
      </c>
      <c r="C771" s="2" t="s">
        <v>486</v>
      </c>
      <c r="D771" s="2" t="s">
        <v>134</v>
      </c>
      <c r="E771" s="2" t="s">
        <v>1215</v>
      </c>
      <c r="F771" s="3">
        <v>-1.38</v>
      </c>
    </row>
    <row r="772" spans="1:6" ht="15" customHeight="1" x14ac:dyDescent="0.25">
      <c r="A772" s="2" t="s">
        <v>74</v>
      </c>
      <c r="B772" s="2" t="s">
        <v>376</v>
      </c>
      <c r="C772" s="2" t="s">
        <v>486</v>
      </c>
      <c r="D772" s="2" t="s">
        <v>113</v>
      </c>
      <c r="E772" s="2" t="s">
        <v>1216</v>
      </c>
      <c r="F772" s="3">
        <v>-0.11</v>
      </c>
    </row>
    <row r="773" spans="1:6" ht="15" customHeight="1" x14ac:dyDescent="0.25">
      <c r="A773" s="2" t="s">
        <v>74</v>
      </c>
      <c r="B773" s="2" t="s">
        <v>376</v>
      </c>
      <c r="C773" s="2" t="s">
        <v>486</v>
      </c>
      <c r="D773" s="2" t="s">
        <v>149</v>
      </c>
      <c r="E773" s="2" t="s">
        <v>1217</v>
      </c>
      <c r="F773" s="3">
        <v>-0.15</v>
      </c>
    </row>
    <row r="774" spans="1:6" ht="15" customHeight="1" x14ac:dyDescent="0.25">
      <c r="A774" s="2" t="s">
        <v>74</v>
      </c>
      <c r="B774" s="2" t="s">
        <v>376</v>
      </c>
      <c r="C774" s="2" t="s">
        <v>486</v>
      </c>
      <c r="D774" s="2" t="s">
        <v>136</v>
      </c>
      <c r="E774" s="2" t="s">
        <v>826</v>
      </c>
      <c r="F774" s="3">
        <v>-0.87</v>
      </c>
    </row>
    <row r="775" spans="1:6" ht="15" customHeight="1" x14ac:dyDescent="0.25">
      <c r="A775" s="2" t="s">
        <v>74</v>
      </c>
      <c r="B775" s="2" t="s">
        <v>376</v>
      </c>
      <c r="C775" s="2" t="s">
        <v>486</v>
      </c>
      <c r="D775" s="2" t="s">
        <v>164</v>
      </c>
      <c r="E775" s="2" t="s">
        <v>1218</v>
      </c>
      <c r="F775" s="3">
        <v>-0.74</v>
      </c>
    </row>
    <row r="776" spans="1:6" ht="15" customHeight="1" x14ac:dyDescent="0.25">
      <c r="A776" s="2" t="s">
        <v>74</v>
      </c>
      <c r="B776" s="2" t="s">
        <v>376</v>
      </c>
      <c r="C776" s="2" t="s">
        <v>484</v>
      </c>
      <c r="D776" s="2" t="s">
        <v>134</v>
      </c>
      <c r="E776" s="2" t="s">
        <v>1219</v>
      </c>
      <c r="F776" s="3">
        <v>9.1999999999999993</v>
      </c>
    </row>
    <row r="777" spans="1:6" ht="15" customHeight="1" x14ac:dyDescent="0.25">
      <c r="A777" s="2" t="s">
        <v>74</v>
      </c>
      <c r="B777" s="2" t="s">
        <v>376</v>
      </c>
      <c r="C777" s="2" t="s">
        <v>484</v>
      </c>
      <c r="D777" s="2" t="s">
        <v>113</v>
      </c>
      <c r="E777" s="2" t="s">
        <v>1220</v>
      </c>
      <c r="F777" s="3">
        <v>0.79</v>
      </c>
    </row>
    <row r="778" spans="1:6" ht="15" customHeight="1" x14ac:dyDescent="0.25">
      <c r="A778" s="2" t="s">
        <v>74</v>
      </c>
      <c r="B778" s="2" t="s">
        <v>376</v>
      </c>
      <c r="C778" s="2" t="s">
        <v>484</v>
      </c>
      <c r="D778" s="2" t="s">
        <v>149</v>
      </c>
      <c r="E778" s="2" t="s">
        <v>1221</v>
      </c>
      <c r="F778" s="3">
        <v>1.03</v>
      </c>
    </row>
    <row r="779" spans="1:6" ht="15" customHeight="1" x14ac:dyDescent="0.25">
      <c r="A779" s="2" t="s">
        <v>74</v>
      </c>
      <c r="B779" s="2" t="s">
        <v>376</v>
      </c>
      <c r="C779" s="2" t="s">
        <v>484</v>
      </c>
      <c r="D779" s="2" t="s">
        <v>136</v>
      </c>
      <c r="E779" s="2" t="s">
        <v>1222</v>
      </c>
      <c r="F779" s="3">
        <v>5.83</v>
      </c>
    </row>
    <row r="780" spans="1:6" ht="15" customHeight="1" x14ac:dyDescent="0.25">
      <c r="A780" s="2" t="s">
        <v>74</v>
      </c>
      <c r="B780" s="2" t="s">
        <v>376</v>
      </c>
      <c r="C780" s="2" t="s">
        <v>484</v>
      </c>
      <c r="D780" s="2" t="s">
        <v>164</v>
      </c>
      <c r="E780" s="2" t="s">
        <v>1223</v>
      </c>
      <c r="F780" s="3">
        <v>4.99</v>
      </c>
    </row>
    <row r="781" spans="1:6" ht="15" customHeight="1" x14ac:dyDescent="0.25">
      <c r="A781" s="2" t="s">
        <v>74</v>
      </c>
      <c r="B781" s="2" t="s">
        <v>377</v>
      </c>
      <c r="C781" s="2" t="s">
        <v>486</v>
      </c>
      <c r="D781" s="2" t="s">
        <v>204</v>
      </c>
      <c r="E781" s="2" t="s">
        <v>1224</v>
      </c>
      <c r="F781" s="3">
        <v>-0.26</v>
      </c>
    </row>
    <row r="782" spans="1:6" ht="15" customHeight="1" x14ac:dyDescent="0.25">
      <c r="A782" s="2" t="s">
        <v>74</v>
      </c>
      <c r="B782" s="2" t="s">
        <v>377</v>
      </c>
      <c r="C782" s="2" t="s">
        <v>484</v>
      </c>
      <c r="D782" s="2" t="s">
        <v>204</v>
      </c>
      <c r="E782" s="2" t="s">
        <v>1225</v>
      </c>
      <c r="F782" s="3">
        <v>1.75</v>
      </c>
    </row>
    <row r="783" spans="1:6" ht="15" customHeight="1" x14ac:dyDescent="0.25">
      <c r="A783" s="2" t="s">
        <v>74</v>
      </c>
      <c r="B783" s="2" t="s">
        <v>377</v>
      </c>
      <c r="C783" s="2" t="s">
        <v>486</v>
      </c>
      <c r="D783" s="2" t="s">
        <v>170</v>
      </c>
      <c r="E783" s="2" t="s">
        <v>1226</v>
      </c>
      <c r="F783" s="3">
        <v>-0.49</v>
      </c>
    </row>
    <row r="784" spans="1:6" ht="15" customHeight="1" x14ac:dyDescent="0.25">
      <c r="A784" s="2" t="s">
        <v>74</v>
      </c>
      <c r="B784" s="2" t="s">
        <v>377</v>
      </c>
      <c r="C784" s="2" t="s">
        <v>484</v>
      </c>
      <c r="D784" s="2" t="s">
        <v>170</v>
      </c>
      <c r="E784" s="2" t="s">
        <v>1227</v>
      </c>
      <c r="F784" s="3">
        <v>3.28</v>
      </c>
    </row>
    <row r="785" spans="1:6" ht="15" customHeight="1" x14ac:dyDescent="0.25">
      <c r="A785" s="2" t="s">
        <v>74</v>
      </c>
      <c r="B785" s="2" t="s">
        <v>377</v>
      </c>
      <c r="C785" s="2" t="s">
        <v>484</v>
      </c>
      <c r="D785" s="2" t="s">
        <v>121</v>
      </c>
      <c r="E785" s="2" t="s">
        <v>1228</v>
      </c>
      <c r="F785" s="3">
        <v>23.48</v>
      </c>
    </row>
    <row r="786" spans="1:6" ht="15" customHeight="1" x14ac:dyDescent="0.25">
      <c r="A786" s="2" t="s">
        <v>74</v>
      </c>
      <c r="B786" s="2" t="s">
        <v>377</v>
      </c>
      <c r="C786" s="2" t="s">
        <v>486</v>
      </c>
      <c r="D786" s="2" t="s">
        <v>121</v>
      </c>
      <c r="E786" s="2" t="s">
        <v>1229</v>
      </c>
      <c r="F786" s="3">
        <v>-3.52</v>
      </c>
    </row>
    <row r="787" spans="1:6" ht="15" customHeight="1" x14ac:dyDescent="0.25">
      <c r="A787" s="2" t="s">
        <v>74</v>
      </c>
      <c r="B787" s="2" t="s">
        <v>377</v>
      </c>
      <c r="C787" s="2" t="s">
        <v>486</v>
      </c>
      <c r="D787" s="2" t="s">
        <v>117</v>
      </c>
      <c r="E787" s="2" t="s">
        <v>1230</v>
      </c>
      <c r="F787" s="3">
        <v>-0.93</v>
      </c>
    </row>
    <row r="788" spans="1:6" ht="15" customHeight="1" x14ac:dyDescent="0.25">
      <c r="A788" s="2" t="s">
        <v>74</v>
      </c>
      <c r="B788" s="2" t="s">
        <v>377</v>
      </c>
      <c r="C788" s="2" t="s">
        <v>484</v>
      </c>
      <c r="D788" s="2" t="s">
        <v>117</v>
      </c>
      <c r="E788" s="2" t="s">
        <v>1231</v>
      </c>
      <c r="F788" s="3">
        <v>6.23</v>
      </c>
    </row>
    <row r="789" spans="1:6" ht="15" customHeight="1" x14ac:dyDescent="0.25">
      <c r="A789" s="2" t="s">
        <v>74</v>
      </c>
      <c r="B789" s="2" t="s">
        <v>377</v>
      </c>
      <c r="C789" s="2" t="s">
        <v>484</v>
      </c>
      <c r="D789" s="2" t="s">
        <v>123</v>
      </c>
      <c r="E789" s="2" t="s">
        <v>1232</v>
      </c>
      <c r="F789" s="3">
        <v>2.92</v>
      </c>
    </row>
    <row r="790" spans="1:6" ht="15" customHeight="1" x14ac:dyDescent="0.25">
      <c r="A790" s="2" t="s">
        <v>74</v>
      </c>
      <c r="B790" s="2" t="s">
        <v>377</v>
      </c>
      <c r="C790" s="2" t="s">
        <v>486</v>
      </c>
      <c r="D790" s="2" t="s">
        <v>123</v>
      </c>
      <c r="E790" s="2" t="s">
        <v>1233</v>
      </c>
      <c r="F790" s="3">
        <v>-0.43</v>
      </c>
    </row>
    <row r="791" spans="1:6" ht="15" customHeight="1" x14ac:dyDescent="0.25">
      <c r="A791" s="2" t="s">
        <v>74</v>
      </c>
      <c r="B791" s="2" t="s">
        <v>377</v>
      </c>
      <c r="C791" s="2" t="s">
        <v>484</v>
      </c>
      <c r="D791" s="2" t="s">
        <v>213</v>
      </c>
      <c r="E791" s="2" t="s">
        <v>1234</v>
      </c>
      <c r="F791" s="3">
        <v>1.91</v>
      </c>
    </row>
    <row r="792" spans="1:6" ht="15" customHeight="1" x14ac:dyDescent="0.25">
      <c r="A792" s="2" t="s">
        <v>74</v>
      </c>
      <c r="B792" s="2" t="s">
        <v>377</v>
      </c>
      <c r="C792" s="2" t="s">
        <v>486</v>
      </c>
      <c r="D792" s="2" t="s">
        <v>213</v>
      </c>
      <c r="E792" s="2" t="s">
        <v>1235</v>
      </c>
      <c r="F792" s="3">
        <v>-0.28000000000000003</v>
      </c>
    </row>
    <row r="793" spans="1:6" ht="15" customHeight="1" x14ac:dyDescent="0.25">
      <c r="A793" s="2" t="s">
        <v>74</v>
      </c>
      <c r="B793" s="2" t="s">
        <v>377</v>
      </c>
      <c r="C793" s="2" t="s">
        <v>484</v>
      </c>
      <c r="D793" s="2" t="s">
        <v>190</v>
      </c>
      <c r="E793" s="2" t="s">
        <v>1236</v>
      </c>
      <c r="F793" s="3">
        <v>2.17</v>
      </c>
    </row>
    <row r="794" spans="1:6" ht="15" customHeight="1" x14ac:dyDescent="0.25">
      <c r="A794" s="2" t="s">
        <v>74</v>
      </c>
      <c r="B794" s="2" t="s">
        <v>377</v>
      </c>
      <c r="C794" s="2" t="s">
        <v>486</v>
      </c>
      <c r="D794" s="2" t="s">
        <v>190</v>
      </c>
      <c r="E794" s="2" t="s">
        <v>1164</v>
      </c>
      <c r="F794" s="3">
        <v>-0.32</v>
      </c>
    </row>
    <row r="795" spans="1:6" ht="15" customHeight="1" x14ac:dyDescent="0.25">
      <c r="A795" s="2" t="s">
        <v>76</v>
      </c>
      <c r="B795" s="2" t="s">
        <v>1237</v>
      </c>
      <c r="C795" s="2" t="s">
        <v>486</v>
      </c>
      <c r="D795" s="2" t="s">
        <v>173</v>
      </c>
      <c r="E795" s="2" t="s">
        <v>833</v>
      </c>
      <c r="F795" s="3">
        <v>-0.24</v>
      </c>
    </row>
    <row r="796" spans="1:6" ht="15" customHeight="1" x14ac:dyDescent="0.25">
      <c r="A796" s="2" t="s">
        <v>76</v>
      </c>
      <c r="B796" s="2" t="s">
        <v>1237</v>
      </c>
      <c r="C796" s="2" t="s">
        <v>484</v>
      </c>
      <c r="D796" s="2" t="s">
        <v>173</v>
      </c>
      <c r="E796" s="2" t="s">
        <v>1238</v>
      </c>
      <c r="F796" s="3">
        <v>1.61</v>
      </c>
    </row>
    <row r="797" spans="1:6" ht="15" customHeight="1" x14ac:dyDescent="0.25">
      <c r="A797" s="2" t="s">
        <v>76</v>
      </c>
      <c r="B797" s="2" t="s">
        <v>379</v>
      </c>
      <c r="C797" s="2" t="s">
        <v>486</v>
      </c>
      <c r="D797" s="2" t="s">
        <v>129</v>
      </c>
      <c r="E797" s="2" t="s">
        <v>1239</v>
      </c>
      <c r="F797" s="3">
        <v>-2.19</v>
      </c>
    </row>
    <row r="798" spans="1:6" ht="15" customHeight="1" x14ac:dyDescent="0.25">
      <c r="A798" s="2" t="s">
        <v>76</v>
      </c>
      <c r="B798" s="2" t="s">
        <v>379</v>
      </c>
      <c r="C798" s="2" t="s">
        <v>484</v>
      </c>
      <c r="D798" s="2" t="s">
        <v>129</v>
      </c>
      <c r="E798" s="2" t="s">
        <v>1240</v>
      </c>
      <c r="F798" s="3">
        <v>14.66</v>
      </c>
    </row>
    <row r="799" spans="1:6" ht="15" customHeight="1" x14ac:dyDescent="0.25">
      <c r="A799" s="2" t="s">
        <v>76</v>
      </c>
      <c r="B799" s="2" t="s">
        <v>1241</v>
      </c>
      <c r="C799" s="2" t="s">
        <v>486</v>
      </c>
      <c r="D799" s="2" t="s">
        <v>192</v>
      </c>
      <c r="E799" s="2" t="s">
        <v>1242</v>
      </c>
      <c r="F799" s="3">
        <v>-0.02</v>
      </c>
    </row>
    <row r="800" spans="1:6" ht="15" customHeight="1" x14ac:dyDescent="0.25">
      <c r="A800" s="2" t="s">
        <v>76</v>
      </c>
      <c r="B800" s="2" t="s">
        <v>1241</v>
      </c>
      <c r="C800" s="2" t="s">
        <v>486</v>
      </c>
      <c r="D800" s="2" t="s">
        <v>166</v>
      </c>
      <c r="E800" s="2" t="s">
        <v>1243</v>
      </c>
      <c r="F800" s="3">
        <v>-0.33</v>
      </c>
    </row>
    <row r="801" spans="1:6" ht="15" customHeight="1" x14ac:dyDescent="0.25">
      <c r="A801" s="2" t="s">
        <v>76</v>
      </c>
      <c r="B801" s="2" t="s">
        <v>1241</v>
      </c>
      <c r="C801" s="2" t="s">
        <v>486</v>
      </c>
      <c r="D801" s="2" t="s">
        <v>127</v>
      </c>
      <c r="E801" s="2" t="s">
        <v>1244</v>
      </c>
      <c r="F801" s="3">
        <v>-1.94</v>
      </c>
    </row>
    <row r="802" spans="1:6" ht="15" customHeight="1" x14ac:dyDescent="0.25">
      <c r="A802" s="2" t="s">
        <v>76</v>
      </c>
      <c r="B802" s="2" t="s">
        <v>1241</v>
      </c>
      <c r="C802" s="2" t="s">
        <v>486</v>
      </c>
      <c r="D802" s="2" t="s">
        <v>119</v>
      </c>
      <c r="E802" s="2" t="s">
        <v>966</v>
      </c>
      <c r="F802" s="3">
        <v>-2.35</v>
      </c>
    </row>
    <row r="803" spans="1:6" ht="15" customHeight="1" x14ac:dyDescent="0.25">
      <c r="A803" s="2" t="s">
        <v>76</v>
      </c>
      <c r="B803" s="2" t="s">
        <v>1241</v>
      </c>
      <c r="C803" s="2" t="s">
        <v>486</v>
      </c>
      <c r="D803" s="2" t="s">
        <v>115</v>
      </c>
      <c r="E803" s="2" t="s">
        <v>1245</v>
      </c>
      <c r="F803" s="3">
        <v>-3.23</v>
      </c>
    </row>
    <row r="804" spans="1:6" ht="15" customHeight="1" x14ac:dyDescent="0.25">
      <c r="A804" s="2" t="s">
        <v>76</v>
      </c>
      <c r="B804" s="2" t="s">
        <v>1241</v>
      </c>
      <c r="C804" s="2" t="s">
        <v>486</v>
      </c>
      <c r="D804" s="2" t="s">
        <v>162</v>
      </c>
      <c r="E804" s="2" t="s">
        <v>1246</v>
      </c>
      <c r="F804" s="3">
        <v>-0.88</v>
      </c>
    </row>
    <row r="805" spans="1:6" ht="15" customHeight="1" x14ac:dyDescent="0.25">
      <c r="A805" s="2" t="s">
        <v>76</v>
      </c>
      <c r="B805" s="2" t="s">
        <v>1241</v>
      </c>
      <c r="C805" s="2" t="s">
        <v>486</v>
      </c>
      <c r="D805" s="2" t="s">
        <v>164</v>
      </c>
      <c r="E805" s="2" t="s">
        <v>783</v>
      </c>
      <c r="F805" s="3">
        <v>-0.76</v>
      </c>
    </row>
    <row r="806" spans="1:6" ht="15" customHeight="1" x14ac:dyDescent="0.25">
      <c r="A806" s="2" t="s">
        <v>76</v>
      </c>
      <c r="B806" s="2" t="s">
        <v>1241</v>
      </c>
      <c r="C806" s="2" t="s">
        <v>486</v>
      </c>
      <c r="D806" s="2" t="s">
        <v>152</v>
      </c>
      <c r="E806" s="2" t="s">
        <v>1247</v>
      </c>
      <c r="F806" s="3">
        <v>-6.81</v>
      </c>
    </row>
    <row r="807" spans="1:6" ht="15" customHeight="1" x14ac:dyDescent="0.25">
      <c r="A807" s="2" t="s">
        <v>76</v>
      </c>
      <c r="B807" s="2" t="s">
        <v>1241</v>
      </c>
      <c r="C807" s="2" t="s">
        <v>484</v>
      </c>
      <c r="D807" s="2" t="s">
        <v>192</v>
      </c>
      <c r="E807" s="2" t="s">
        <v>1248</v>
      </c>
      <c r="F807" s="3">
        <v>0.14000000000000001</v>
      </c>
    </row>
    <row r="808" spans="1:6" ht="15" customHeight="1" x14ac:dyDescent="0.25">
      <c r="A808" s="2" t="s">
        <v>76</v>
      </c>
      <c r="B808" s="2" t="s">
        <v>1241</v>
      </c>
      <c r="C808" s="2" t="s">
        <v>484</v>
      </c>
      <c r="D808" s="2" t="s">
        <v>166</v>
      </c>
      <c r="E808" s="2" t="s">
        <v>1249</v>
      </c>
      <c r="F808" s="3">
        <v>2.21</v>
      </c>
    </row>
    <row r="809" spans="1:6" ht="15" customHeight="1" x14ac:dyDescent="0.25">
      <c r="A809" s="2" t="s">
        <v>76</v>
      </c>
      <c r="B809" s="2" t="s">
        <v>1241</v>
      </c>
      <c r="C809" s="2" t="s">
        <v>484</v>
      </c>
      <c r="D809" s="2" t="s">
        <v>127</v>
      </c>
      <c r="E809" s="2" t="s">
        <v>1250</v>
      </c>
      <c r="F809" s="3">
        <v>12.95</v>
      </c>
    </row>
    <row r="810" spans="1:6" ht="15" customHeight="1" x14ac:dyDescent="0.25">
      <c r="A810" s="2" t="s">
        <v>76</v>
      </c>
      <c r="B810" s="2" t="s">
        <v>1241</v>
      </c>
      <c r="C810" s="2" t="s">
        <v>484</v>
      </c>
      <c r="D810" s="2" t="s">
        <v>119</v>
      </c>
      <c r="E810" s="2" t="s">
        <v>1251</v>
      </c>
      <c r="F810" s="3">
        <v>15.7</v>
      </c>
    </row>
    <row r="811" spans="1:6" ht="15" customHeight="1" x14ac:dyDescent="0.25">
      <c r="A811" s="2" t="s">
        <v>76</v>
      </c>
      <c r="B811" s="2" t="s">
        <v>1241</v>
      </c>
      <c r="C811" s="2" t="s">
        <v>484</v>
      </c>
      <c r="D811" s="2" t="s">
        <v>115</v>
      </c>
      <c r="E811" s="2" t="s">
        <v>1252</v>
      </c>
      <c r="F811" s="3">
        <v>21.56</v>
      </c>
    </row>
    <row r="812" spans="1:6" ht="15" customHeight="1" x14ac:dyDescent="0.25">
      <c r="A812" s="2" t="s">
        <v>76</v>
      </c>
      <c r="B812" s="2" t="s">
        <v>1241</v>
      </c>
      <c r="C812" s="2" t="s">
        <v>484</v>
      </c>
      <c r="D812" s="2" t="s">
        <v>162</v>
      </c>
      <c r="E812" s="2" t="s">
        <v>1253</v>
      </c>
      <c r="F812" s="3">
        <v>5.87</v>
      </c>
    </row>
    <row r="813" spans="1:6" ht="15" customHeight="1" x14ac:dyDescent="0.25">
      <c r="A813" s="2" t="s">
        <v>76</v>
      </c>
      <c r="B813" s="2" t="s">
        <v>1241</v>
      </c>
      <c r="C813" s="2" t="s">
        <v>484</v>
      </c>
      <c r="D813" s="2" t="s">
        <v>164</v>
      </c>
      <c r="E813" s="2" t="s">
        <v>1254</v>
      </c>
      <c r="F813" s="3">
        <v>5.07</v>
      </c>
    </row>
    <row r="814" spans="1:6" ht="15" customHeight="1" x14ac:dyDescent="0.25">
      <c r="A814" s="2" t="s">
        <v>76</v>
      </c>
      <c r="B814" s="2" t="s">
        <v>1241</v>
      </c>
      <c r="C814" s="2" t="s">
        <v>484</v>
      </c>
      <c r="D814" s="2" t="s">
        <v>152</v>
      </c>
      <c r="E814" s="2" t="s">
        <v>1255</v>
      </c>
      <c r="F814" s="3">
        <v>45.42</v>
      </c>
    </row>
    <row r="815" spans="1:6" ht="15" customHeight="1" x14ac:dyDescent="0.25">
      <c r="A815" s="2" t="s">
        <v>76</v>
      </c>
      <c r="B815" s="2" t="s">
        <v>380</v>
      </c>
      <c r="C815" s="2" t="s">
        <v>486</v>
      </c>
      <c r="D815" s="2" t="s">
        <v>183</v>
      </c>
      <c r="E815" s="2" t="s">
        <v>1256</v>
      </c>
      <c r="F815" s="3">
        <v>-0.28000000000000003</v>
      </c>
    </row>
    <row r="816" spans="1:6" ht="15" customHeight="1" x14ac:dyDescent="0.25">
      <c r="A816" s="2" t="s">
        <v>76</v>
      </c>
      <c r="B816" s="2" t="s">
        <v>380</v>
      </c>
      <c r="C816" s="2" t="s">
        <v>486</v>
      </c>
      <c r="D816" s="2" t="s">
        <v>143</v>
      </c>
      <c r="E816" s="2" t="s">
        <v>1257</v>
      </c>
      <c r="F816" s="3">
        <v>-1.74</v>
      </c>
    </row>
    <row r="817" spans="1:6" ht="15" customHeight="1" x14ac:dyDescent="0.25">
      <c r="A817" s="2" t="s">
        <v>76</v>
      </c>
      <c r="B817" s="2" t="s">
        <v>380</v>
      </c>
      <c r="C817" s="2" t="s">
        <v>486</v>
      </c>
      <c r="D817" s="2" t="s">
        <v>185</v>
      </c>
      <c r="E817" s="2" t="s">
        <v>1258</v>
      </c>
      <c r="F817" s="3">
        <v>-0.1</v>
      </c>
    </row>
    <row r="818" spans="1:6" ht="15" customHeight="1" x14ac:dyDescent="0.25">
      <c r="A818" s="2" t="s">
        <v>76</v>
      </c>
      <c r="B818" s="2" t="s">
        <v>380</v>
      </c>
      <c r="C818" s="2" t="s">
        <v>484</v>
      </c>
      <c r="D818" s="2" t="s">
        <v>183</v>
      </c>
      <c r="E818" s="2" t="s">
        <v>1259</v>
      </c>
      <c r="F818" s="3">
        <v>1.89</v>
      </c>
    </row>
    <row r="819" spans="1:6" ht="15" customHeight="1" x14ac:dyDescent="0.25">
      <c r="A819" s="2" t="s">
        <v>76</v>
      </c>
      <c r="B819" s="2" t="s">
        <v>380</v>
      </c>
      <c r="C819" s="2" t="s">
        <v>484</v>
      </c>
      <c r="D819" s="2" t="s">
        <v>143</v>
      </c>
      <c r="E819" s="2" t="s">
        <v>1260</v>
      </c>
      <c r="F819" s="3">
        <v>11.65</v>
      </c>
    </row>
    <row r="820" spans="1:6" ht="15" customHeight="1" x14ac:dyDescent="0.25">
      <c r="A820" s="2" t="s">
        <v>76</v>
      </c>
      <c r="B820" s="2" t="s">
        <v>380</v>
      </c>
      <c r="C820" s="2" t="s">
        <v>484</v>
      </c>
      <c r="D820" s="2" t="s">
        <v>185</v>
      </c>
      <c r="E820" s="2" t="s">
        <v>1261</v>
      </c>
      <c r="F820" s="3">
        <v>0.69</v>
      </c>
    </row>
    <row r="821" spans="1:6" ht="15" customHeight="1" x14ac:dyDescent="0.25">
      <c r="A821" s="2" t="s">
        <v>76</v>
      </c>
      <c r="B821" s="2" t="s">
        <v>1262</v>
      </c>
      <c r="C821" s="2" t="s">
        <v>484</v>
      </c>
      <c r="D821" s="2" t="s">
        <v>177</v>
      </c>
      <c r="E821" s="2" t="s">
        <v>1263</v>
      </c>
      <c r="F821" s="3">
        <v>0.65</v>
      </c>
    </row>
    <row r="822" spans="1:6" ht="15" customHeight="1" x14ac:dyDescent="0.25">
      <c r="A822" s="2" t="s">
        <v>76</v>
      </c>
      <c r="B822" s="2" t="s">
        <v>1262</v>
      </c>
      <c r="C822" s="2" t="s">
        <v>486</v>
      </c>
      <c r="D822" s="2" t="s">
        <v>215</v>
      </c>
      <c r="E822" s="2" t="s">
        <v>1264</v>
      </c>
      <c r="F822" s="3">
        <v>-1.35</v>
      </c>
    </row>
    <row r="823" spans="1:6" ht="15" customHeight="1" x14ac:dyDescent="0.25">
      <c r="A823" s="2" t="s">
        <v>76</v>
      </c>
      <c r="B823" s="2" t="s">
        <v>1262</v>
      </c>
      <c r="C823" s="2" t="s">
        <v>486</v>
      </c>
      <c r="D823" s="2" t="s">
        <v>179</v>
      </c>
      <c r="E823" s="2" t="s">
        <v>1265</v>
      </c>
      <c r="F823" s="3">
        <v>-1.1200000000000001</v>
      </c>
    </row>
    <row r="824" spans="1:6" ht="15" customHeight="1" x14ac:dyDescent="0.25">
      <c r="A824" s="2" t="s">
        <v>76</v>
      </c>
      <c r="B824" s="2" t="s">
        <v>1262</v>
      </c>
      <c r="C824" s="2" t="s">
        <v>484</v>
      </c>
      <c r="D824" s="2" t="s">
        <v>215</v>
      </c>
      <c r="E824" s="2" t="s">
        <v>1266</v>
      </c>
      <c r="F824" s="3">
        <v>9</v>
      </c>
    </row>
    <row r="825" spans="1:6" ht="15" customHeight="1" x14ac:dyDescent="0.25">
      <c r="A825" s="2" t="s">
        <v>76</v>
      </c>
      <c r="B825" s="2" t="s">
        <v>1262</v>
      </c>
      <c r="C825" s="2" t="s">
        <v>484</v>
      </c>
      <c r="D825" s="2" t="s">
        <v>179</v>
      </c>
      <c r="E825" s="2" t="s">
        <v>1267</v>
      </c>
      <c r="F825" s="3">
        <v>7.5</v>
      </c>
    </row>
    <row r="826" spans="1:6" ht="15" customHeight="1" x14ac:dyDescent="0.25">
      <c r="A826" s="2" t="s">
        <v>76</v>
      </c>
      <c r="B826" s="2" t="s">
        <v>1268</v>
      </c>
      <c r="C826" s="2" t="s">
        <v>486</v>
      </c>
      <c r="D826" s="2" t="s">
        <v>196</v>
      </c>
      <c r="E826" s="2" t="s">
        <v>546</v>
      </c>
      <c r="F826" s="3">
        <v>-0.42</v>
      </c>
    </row>
    <row r="827" spans="1:6" ht="15" customHeight="1" x14ac:dyDescent="0.25">
      <c r="A827" s="2" t="s">
        <v>76</v>
      </c>
      <c r="B827" s="2" t="s">
        <v>1268</v>
      </c>
      <c r="C827" s="2" t="s">
        <v>486</v>
      </c>
      <c r="D827" s="2" t="s">
        <v>132</v>
      </c>
      <c r="E827" s="2" t="s">
        <v>1269</v>
      </c>
      <c r="F827" s="3">
        <v>-2.95</v>
      </c>
    </row>
    <row r="828" spans="1:6" ht="15" customHeight="1" x14ac:dyDescent="0.25">
      <c r="A828" s="2" t="s">
        <v>76</v>
      </c>
      <c r="B828" s="2" t="s">
        <v>1268</v>
      </c>
      <c r="C828" s="2" t="s">
        <v>484</v>
      </c>
      <c r="D828" s="2" t="s">
        <v>196</v>
      </c>
      <c r="E828" s="2" t="s">
        <v>1270</v>
      </c>
      <c r="F828" s="3">
        <v>2.86</v>
      </c>
    </row>
    <row r="829" spans="1:6" ht="15" customHeight="1" x14ac:dyDescent="0.25">
      <c r="A829" s="2" t="s">
        <v>76</v>
      </c>
      <c r="B829" s="2" t="s">
        <v>1268</v>
      </c>
      <c r="C829" s="2" t="s">
        <v>484</v>
      </c>
      <c r="D829" s="2" t="s">
        <v>132</v>
      </c>
      <c r="E829" s="2" t="s">
        <v>1271</v>
      </c>
      <c r="F829" s="3">
        <v>19.690000000000001</v>
      </c>
    </row>
    <row r="830" spans="1:6" ht="15" customHeight="1" x14ac:dyDescent="0.25">
      <c r="A830" s="2" t="s">
        <v>76</v>
      </c>
      <c r="B830" s="2" t="s">
        <v>1268</v>
      </c>
      <c r="C830" s="2" t="s">
        <v>486</v>
      </c>
      <c r="D830" s="2" t="s">
        <v>164</v>
      </c>
      <c r="E830" s="2" t="s">
        <v>1272</v>
      </c>
      <c r="F830" s="3">
        <v>-0.65</v>
      </c>
    </row>
    <row r="831" spans="1:6" ht="15" customHeight="1" x14ac:dyDescent="0.25">
      <c r="A831" s="2" t="s">
        <v>76</v>
      </c>
      <c r="B831" s="2" t="s">
        <v>1268</v>
      </c>
      <c r="C831" s="2" t="s">
        <v>484</v>
      </c>
      <c r="D831" s="2" t="s">
        <v>164</v>
      </c>
      <c r="E831" s="2" t="s">
        <v>1273</v>
      </c>
      <c r="F831" s="3">
        <v>4.34</v>
      </c>
    </row>
    <row r="832" spans="1:6" ht="15" customHeight="1" x14ac:dyDescent="0.25">
      <c r="A832" s="2" t="s">
        <v>76</v>
      </c>
      <c r="B832" s="2" t="s">
        <v>382</v>
      </c>
      <c r="C832" s="2" t="s">
        <v>486</v>
      </c>
      <c r="D832" s="2" t="s">
        <v>154</v>
      </c>
      <c r="E832" s="2" t="s">
        <v>1004</v>
      </c>
      <c r="F832" s="3">
        <v>-0.11</v>
      </c>
    </row>
    <row r="833" spans="1:6" ht="15" customHeight="1" x14ac:dyDescent="0.25">
      <c r="A833" s="2" t="s">
        <v>76</v>
      </c>
      <c r="B833" s="2" t="s">
        <v>382</v>
      </c>
      <c r="C833" s="2" t="s">
        <v>484</v>
      </c>
      <c r="D833" s="2" t="s">
        <v>154</v>
      </c>
      <c r="E833" s="2" t="s">
        <v>1274</v>
      </c>
      <c r="F833" s="3">
        <v>0.74</v>
      </c>
    </row>
    <row r="834" spans="1:6" ht="15" customHeight="1" x14ac:dyDescent="0.25">
      <c r="A834" s="2" t="s">
        <v>76</v>
      </c>
      <c r="B834" s="2" t="s">
        <v>386</v>
      </c>
      <c r="C834" s="2" t="s">
        <v>484</v>
      </c>
      <c r="D834" s="2" t="s">
        <v>158</v>
      </c>
      <c r="E834" s="2" t="s">
        <v>1275</v>
      </c>
      <c r="F834" s="3">
        <v>6.91</v>
      </c>
    </row>
    <row r="835" spans="1:6" ht="15" customHeight="1" x14ac:dyDescent="0.25">
      <c r="A835" s="2" t="s">
        <v>76</v>
      </c>
      <c r="B835" s="2" t="s">
        <v>386</v>
      </c>
      <c r="C835" s="2" t="s">
        <v>486</v>
      </c>
      <c r="D835" s="2" t="s">
        <v>158</v>
      </c>
      <c r="E835" s="2" t="s">
        <v>1276</v>
      </c>
      <c r="F835" s="3">
        <v>-1.03</v>
      </c>
    </row>
    <row r="836" spans="1:6" ht="15" customHeight="1" x14ac:dyDescent="0.25">
      <c r="A836" s="2" t="s">
        <v>76</v>
      </c>
      <c r="B836" s="2" t="s">
        <v>386</v>
      </c>
      <c r="C836" s="2" t="s">
        <v>486</v>
      </c>
      <c r="D836" s="2" t="s">
        <v>145</v>
      </c>
      <c r="E836" s="2" t="s">
        <v>1277</v>
      </c>
      <c r="F836" s="3">
        <v>-6.23</v>
      </c>
    </row>
    <row r="837" spans="1:6" ht="15" customHeight="1" x14ac:dyDescent="0.25">
      <c r="A837" s="2" t="s">
        <v>76</v>
      </c>
      <c r="B837" s="2" t="s">
        <v>386</v>
      </c>
      <c r="C837" s="2" t="s">
        <v>484</v>
      </c>
      <c r="D837" s="2" t="s">
        <v>145</v>
      </c>
      <c r="E837" s="2" t="s">
        <v>1278</v>
      </c>
      <c r="F837" s="3">
        <v>41.55</v>
      </c>
    </row>
    <row r="838" spans="1:6" ht="15" customHeight="1" x14ac:dyDescent="0.25">
      <c r="A838" s="2" t="s">
        <v>76</v>
      </c>
      <c r="B838" s="2" t="s">
        <v>386</v>
      </c>
      <c r="C838" s="2" t="s">
        <v>486</v>
      </c>
      <c r="D838" s="2" t="s">
        <v>194</v>
      </c>
      <c r="E838" s="2" t="s">
        <v>1279</v>
      </c>
      <c r="F838" s="3">
        <v>-3.45</v>
      </c>
    </row>
    <row r="839" spans="1:6" ht="15" customHeight="1" x14ac:dyDescent="0.25">
      <c r="A839" s="2" t="s">
        <v>76</v>
      </c>
      <c r="B839" s="2" t="s">
        <v>386</v>
      </c>
      <c r="C839" s="2" t="s">
        <v>484</v>
      </c>
      <c r="D839" s="2" t="s">
        <v>194</v>
      </c>
      <c r="E839" s="2" t="s">
        <v>1280</v>
      </c>
      <c r="F839" s="3">
        <v>23.04</v>
      </c>
    </row>
    <row r="840" spans="1:6" ht="15" customHeight="1" x14ac:dyDescent="0.25">
      <c r="A840" s="2" t="s">
        <v>76</v>
      </c>
      <c r="B840" s="2" t="s">
        <v>386</v>
      </c>
      <c r="C840" s="2" t="s">
        <v>486</v>
      </c>
      <c r="D840" s="2" t="s">
        <v>164</v>
      </c>
      <c r="E840" s="2" t="s">
        <v>1281</v>
      </c>
      <c r="F840" s="3">
        <v>-0.5</v>
      </c>
    </row>
    <row r="841" spans="1:6" ht="15" customHeight="1" x14ac:dyDescent="0.25">
      <c r="A841" s="2" t="s">
        <v>76</v>
      </c>
      <c r="B841" s="2" t="s">
        <v>386</v>
      </c>
      <c r="C841" s="2" t="s">
        <v>484</v>
      </c>
      <c r="D841" s="2" t="s">
        <v>164</v>
      </c>
      <c r="E841" s="2" t="s">
        <v>1282</v>
      </c>
      <c r="F841" s="3">
        <v>3.36</v>
      </c>
    </row>
    <row r="842" spans="1:6" ht="15" customHeight="1" x14ac:dyDescent="0.25">
      <c r="A842" s="2" t="s">
        <v>76</v>
      </c>
      <c r="B842" s="2" t="s">
        <v>391</v>
      </c>
      <c r="C842" s="2" t="s">
        <v>486</v>
      </c>
      <c r="D842" s="2" t="s">
        <v>134</v>
      </c>
      <c r="E842" s="2" t="s">
        <v>1283</v>
      </c>
      <c r="F842" s="3">
        <v>-1.35</v>
      </c>
    </row>
    <row r="843" spans="1:6" ht="15" customHeight="1" x14ac:dyDescent="0.25">
      <c r="A843" s="2" t="s">
        <v>76</v>
      </c>
      <c r="B843" s="2" t="s">
        <v>391</v>
      </c>
      <c r="C843" s="2" t="s">
        <v>486</v>
      </c>
      <c r="D843" s="2" t="s">
        <v>136</v>
      </c>
      <c r="E843" s="2" t="s">
        <v>595</v>
      </c>
      <c r="F843" s="3">
        <v>-0.84</v>
      </c>
    </row>
    <row r="844" spans="1:6" ht="15" customHeight="1" x14ac:dyDescent="0.25">
      <c r="A844" s="2" t="s">
        <v>76</v>
      </c>
      <c r="B844" s="2" t="s">
        <v>391</v>
      </c>
      <c r="C844" s="2" t="s">
        <v>486</v>
      </c>
      <c r="D844" s="2" t="s">
        <v>164</v>
      </c>
      <c r="E844" s="2" t="s">
        <v>1284</v>
      </c>
      <c r="F844" s="3">
        <v>-0.88</v>
      </c>
    </row>
    <row r="845" spans="1:6" ht="15" customHeight="1" x14ac:dyDescent="0.25">
      <c r="A845" s="2" t="s">
        <v>76</v>
      </c>
      <c r="B845" s="2" t="s">
        <v>391</v>
      </c>
      <c r="C845" s="2" t="s">
        <v>484</v>
      </c>
      <c r="D845" s="2" t="s">
        <v>134</v>
      </c>
      <c r="E845" s="2" t="s">
        <v>1285</v>
      </c>
      <c r="F845" s="3">
        <v>9.06</v>
      </c>
    </row>
    <row r="846" spans="1:6" ht="15" customHeight="1" x14ac:dyDescent="0.25">
      <c r="A846" s="2" t="s">
        <v>76</v>
      </c>
      <c r="B846" s="2" t="s">
        <v>391</v>
      </c>
      <c r="C846" s="2" t="s">
        <v>484</v>
      </c>
      <c r="D846" s="2" t="s">
        <v>136</v>
      </c>
      <c r="E846" s="2" t="s">
        <v>1286</v>
      </c>
      <c r="F846" s="3">
        <v>5.61</v>
      </c>
    </row>
    <row r="847" spans="1:6" ht="15" customHeight="1" x14ac:dyDescent="0.25">
      <c r="A847" s="2" t="s">
        <v>76</v>
      </c>
      <c r="B847" s="2" t="s">
        <v>391</v>
      </c>
      <c r="C847" s="2" t="s">
        <v>484</v>
      </c>
      <c r="D847" s="2" t="s">
        <v>164</v>
      </c>
      <c r="E847" s="2" t="s">
        <v>1287</v>
      </c>
      <c r="F847" s="3">
        <v>5.93</v>
      </c>
    </row>
    <row r="848" spans="1:6" ht="15" customHeight="1" x14ac:dyDescent="0.25">
      <c r="A848" s="2" t="s">
        <v>76</v>
      </c>
      <c r="B848" s="2" t="s">
        <v>391</v>
      </c>
      <c r="C848" s="2" t="s">
        <v>486</v>
      </c>
      <c r="D848" s="2" t="s">
        <v>140</v>
      </c>
      <c r="E848" s="2" t="s">
        <v>1288</v>
      </c>
      <c r="F848" s="3">
        <v>-12.42</v>
      </c>
    </row>
    <row r="849" spans="1:6" ht="15" customHeight="1" x14ac:dyDescent="0.25">
      <c r="A849" s="2" t="s">
        <v>76</v>
      </c>
      <c r="B849" s="2" t="s">
        <v>391</v>
      </c>
      <c r="C849" s="2" t="s">
        <v>484</v>
      </c>
      <c r="D849" s="2" t="s">
        <v>140</v>
      </c>
      <c r="E849" s="2" t="s">
        <v>1289</v>
      </c>
      <c r="F849" s="3">
        <v>82.83</v>
      </c>
    </row>
    <row r="850" spans="1:6" ht="15" customHeight="1" x14ac:dyDescent="0.25">
      <c r="A850" s="2" t="s">
        <v>76</v>
      </c>
      <c r="B850" s="2" t="s">
        <v>392</v>
      </c>
      <c r="C850" s="2" t="s">
        <v>486</v>
      </c>
      <c r="D850" s="2" t="s">
        <v>187</v>
      </c>
      <c r="E850" s="2" t="s">
        <v>1211</v>
      </c>
      <c r="F850" s="3">
        <v>-0.43</v>
      </c>
    </row>
    <row r="851" spans="1:6" ht="15" customHeight="1" x14ac:dyDescent="0.25">
      <c r="A851" s="2" t="s">
        <v>76</v>
      </c>
      <c r="B851" s="2" t="s">
        <v>392</v>
      </c>
      <c r="C851" s="2" t="s">
        <v>486</v>
      </c>
      <c r="D851" s="2" t="s">
        <v>170</v>
      </c>
      <c r="E851" s="2" t="s">
        <v>1290</v>
      </c>
      <c r="F851" s="3">
        <v>-0.39</v>
      </c>
    </row>
    <row r="852" spans="1:6" ht="15" customHeight="1" x14ac:dyDescent="0.25">
      <c r="A852" s="2" t="s">
        <v>76</v>
      </c>
      <c r="B852" s="2" t="s">
        <v>392</v>
      </c>
      <c r="C852" s="2" t="s">
        <v>484</v>
      </c>
      <c r="D852" s="2" t="s">
        <v>170</v>
      </c>
      <c r="E852" s="2" t="s">
        <v>1291</v>
      </c>
      <c r="F852" s="3">
        <v>2.6</v>
      </c>
    </row>
    <row r="853" spans="1:6" ht="15" customHeight="1" x14ac:dyDescent="0.25">
      <c r="A853" s="2" t="s">
        <v>76</v>
      </c>
      <c r="B853" s="2" t="s">
        <v>392</v>
      </c>
      <c r="C853" s="2" t="s">
        <v>484</v>
      </c>
      <c r="D853" s="2" t="s">
        <v>187</v>
      </c>
      <c r="E853" s="2" t="s">
        <v>1292</v>
      </c>
      <c r="F853" s="3">
        <v>2.88</v>
      </c>
    </row>
    <row r="854" spans="1:6" ht="15" customHeight="1" x14ac:dyDescent="0.25">
      <c r="A854" s="2" t="s">
        <v>76</v>
      </c>
      <c r="B854" s="2" t="s">
        <v>396</v>
      </c>
      <c r="C854" s="2" t="s">
        <v>486</v>
      </c>
      <c r="D854" s="2" t="s">
        <v>204</v>
      </c>
      <c r="E854" s="2" t="s">
        <v>1224</v>
      </c>
      <c r="F854" s="3">
        <v>-0.26</v>
      </c>
    </row>
    <row r="855" spans="1:6" ht="15" customHeight="1" x14ac:dyDescent="0.25">
      <c r="A855" s="2" t="s">
        <v>76</v>
      </c>
      <c r="B855" s="2" t="s">
        <v>396</v>
      </c>
      <c r="C855" s="2" t="s">
        <v>486</v>
      </c>
      <c r="D855" s="2" t="s">
        <v>121</v>
      </c>
      <c r="E855" s="2" t="s">
        <v>1293</v>
      </c>
      <c r="F855" s="3">
        <v>-3.57</v>
      </c>
    </row>
    <row r="856" spans="1:6" ht="15" customHeight="1" x14ac:dyDescent="0.25">
      <c r="A856" s="2" t="s">
        <v>76</v>
      </c>
      <c r="B856" s="2" t="s">
        <v>396</v>
      </c>
      <c r="C856" s="2" t="s">
        <v>486</v>
      </c>
      <c r="D856" s="2" t="s">
        <v>190</v>
      </c>
      <c r="E856" s="2" t="s">
        <v>1294</v>
      </c>
      <c r="F856" s="3">
        <v>-0.39</v>
      </c>
    </row>
    <row r="857" spans="1:6" ht="15" customHeight="1" x14ac:dyDescent="0.25">
      <c r="A857" s="2" t="s">
        <v>76</v>
      </c>
      <c r="B857" s="2" t="s">
        <v>396</v>
      </c>
      <c r="C857" s="2" t="s">
        <v>484</v>
      </c>
      <c r="D857" s="2" t="s">
        <v>204</v>
      </c>
      <c r="E857" s="2" t="s">
        <v>1295</v>
      </c>
      <c r="F857" s="3">
        <v>1.75</v>
      </c>
    </row>
    <row r="858" spans="1:6" ht="15" customHeight="1" x14ac:dyDescent="0.25">
      <c r="A858" s="2" t="s">
        <v>76</v>
      </c>
      <c r="B858" s="2" t="s">
        <v>396</v>
      </c>
      <c r="C858" s="2" t="s">
        <v>484</v>
      </c>
      <c r="D858" s="2" t="s">
        <v>121</v>
      </c>
      <c r="E858" s="2" t="s">
        <v>1296</v>
      </c>
      <c r="F858" s="3">
        <v>23.81</v>
      </c>
    </row>
    <row r="859" spans="1:6" ht="15" customHeight="1" x14ac:dyDescent="0.25">
      <c r="A859" s="2" t="s">
        <v>76</v>
      </c>
      <c r="B859" s="2" t="s">
        <v>396</v>
      </c>
      <c r="C859" s="2" t="s">
        <v>484</v>
      </c>
      <c r="D859" s="2" t="s">
        <v>190</v>
      </c>
      <c r="E859" s="2" t="s">
        <v>1297</v>
      </c>
      <c r="F859" s="3">
        <v>2.64</v>
      </c>
    </row>
    <row r="860" spans="1:6" ht="15" customHeight="1" x14ac:dyDescent="0.25">
      <c r="A860" s="2" t="s">
        <v>78</v>
      </c>
      <c r="B860" s="2" t="s">
        <v>397</v>
      </c>
      <c r="C860" s="2" t="s">
        <v>486</v>
      </c>
      <c r="D860" s="2" t="s">
        <v>164</v>
      </c>
      <c r="E860" s="2" t="s">
        <v>1298</v>
      </c>
      <c r="F860" s="3">
        <v>-0.79</v>
      </c>
    </row>
    <row r="861" spans="1:6" ht="15" customHeight="1" x14ac:dyDescent="0.25">
      <c r="A861" s="2" t="s">
        <v>78</v>
      </c>
      <c r="B861" s="2" t="s">
        <v>397</v>
      </c>
      <c r="C861" s="2" t="s">
        <v>484</v>
      </c>
      <c r="D861" s="2" t="s">
        <v>164</v>
      </c>
      <c r="E861" s="2" t="s">
        <v>1299</v>
      </c>
      <c r="F861" s="3">
        <v>5.31</v>
      </c>
    </row>
    <row r="862" spans="1:6" ht="15" customHeight="1" x14ac:dyDescent="0.25">
      <c r="A862" s="2" t="s">
        <v>78</v>
      </c>
      <c r="B862" s="2" t="s">
        <v>397</v>
      </c>
      <c r="C862" s="2" t="s">
        <v>486</v>
      </c>
      <c r="D862" s="2" t="s">
        <v>152</v>
      </c>
      <c r="E862" s="2" t="s">
        <v>1300</v>
      </c>
      <c r="F862" s="3">
        <v>-6.7</v>
      </c>
    </row>
    <row r="863" spans="1:6" ht="15" customHeight="1" x14ac:dyDescent="0.25">
      <c r="A863" s="2" t="s">
        <v>78</v>
      </c>
      <c r="B863" s="2" t="s">
        <v>397</v>
      </c>
      <c r="C863" s="2" t="s">
        <v>484</v>
      </c>
      <c r="D863" s="2" t="s">
        <v>152</v>
      </c>
      <c r="E863" s="2" t="s">
        <v>1301</v>
      </c>
      <c r="F863" s="3">
        <v>44.73</v>
      </c>
    </row>
    <row r="864" spans="1:6" ht="15" customHeight="1" x14ac:dyDescent="0.25">
      <c r="A864" s="2" t="s">
        <v>78</v>
      </c>
      <c r="B864" s="2" t="s">
        <v>399</v>
      </c>
      <c r="C864" s="2" t="s">
        <v>486</v>
      </c>
      <c r="D864" s="2" t="s">
        <v>129</v>
      </c>
      <c r="E864" s="2" t="s">
        <v>1302</v>
      </c>
      <c r="F864" s="3">
        <v>-2.4300000000000002</v>
      </c>
    </row>
    <row r="865" spans="1:6" ht="15" customHeight="1" x14ac:dyDescent="0.25">
      <c r="A865" s="2" t="s">
        <v>78</v>
      </c>
      <c r="B865" s="2" t="s">
        <v>399</v>
      </c>
      <c r="C865" s="2" t="s">
        <v>484</v>
      </c>
      <c r="D865" s="2" t="s">
        <v>129</v>
      </c>
      <c r="E865" s="2" t="s">
        <v>1303</v>
      </c>
      <c r="F865" s="3">
        <v>16.2</v>
      </c>
    </row>
    <row r="866" spans="1:6" ht="15" customHeight="1" x14ac:dyDescent="0.25">
      <c r="A866" s="2" t="s">
        <v>78</v>
      </c>
      <c r="B866" s="2" t="s">
        <v>399</v>
      </c>
      <c r="C866" s="2" t="s">
        <v>486</v>
      </c>
      <c r="D866" s="2" t="s">
        <v>218</v>
      </c>
      <c r="E866" s="2" t="s">
        <v>1304</v>
      </c>
      <c r="F866" s="3">
        <v>-0.39</v>
      </c>
    </row>
    <row r="867" spans="1:6" ht="15" customHeight="1" x14ac:dyDescent="0.25">
      <c r="A867" s="2" t="s">
        <v>78</v>
      </c>
      <c r="B867" s="2" t="s">
        <v>399</v>
      </c>
      <c r="C867" s="2" t="s">
        <v>484</v>
      </c>
      <c r="D867" s="2" t="s">
        <v>218</v>
      </c>
      <c r="E867" s="2" t="s">
        <v>1305</v>
      </c>
      <c r="F867" s="3">
        <v>2.65</v>
      </c>
    </row>
    <row r="868" spans="1:6" ht="15" customHeight="1" x14ac:dyDescent="0.25">
      <c r="A868" s="2" t="s">
        <v>78</v>
      </c>
      <c r="B868" s="2" t="s">
        <v>400</v>
      </c>
      <c r="C868" s="2" t="s">
        <v>486</v>
      </c>
      <c r="D868" s="2" t="s">
        <v>166</v>
      </c>
      <c r="E868" s="2" t="s">
        <v>1158</v>
      </c>
      <c r="F868" s="3">
        <v>-0.37</v>
      </c>
    </row>
    <row r="869" spans="1:6" ht="15" customHeight="1" x14ac:dyDescent="0.25">
      <c r="A869" s="2" t="s">
        <v>78</v>
      </c>
      <c r="B869" s="2" t="s">
        <v>400</v>
      </c>
      <c r="C869" s="2" t="s">
        <v>486</v>
      </c>
      <c r="D869" s="2" t="s">
        <v>127</v>
      </c>
      <c r="E869" s="2" t="s">
        <v>1306</v>
      </c>
      <c r="F869" s="3">
        <v>-1.96</v>
      </c>
    </row>
    <row r="870" spans="1:6" ht="15" customHeight="1" x14ac:dyDescent="0.25">
      <c r="A870" s="2" t="s">
        <v>78</v>
      </c>
      <c r="B870" s="2" t="s">
        <v>400</v>
      </c>
      <c r="C870" s="2" t="s">
        <v>486</v>
      </c>
      <c r="D870" s="2" t="s">
        <v>115</v>
      </c>
      <c r="E870" s="2" t="s">
        <v>1307</v>
      </c>
      <c r="F870" s="3">
        <v>-3.37</v>
      </c>
    </row>
    <row r="871" spans="1:6" ht="15" customHeight="1" x14ac:dyDescent="0.25">
      <c r="A871" s="2" t="s">
        <v>78</v>
      </c>
      <c r="B871" s="2" t="s">
        <v>400</v>
      </c>
      <c r="C871" s="2" t="s">
        <v>486</v>
      </c>
      <c r="D871" s="2" t="s">
        <v>119</v>
      </c>
      <c r="E871" s="2" t="s">
        <v>1308</v>
      </c>
      <c r="F871" s="3">
        <v>-2.4700000000000002</v>
      </c>
    </row>
    <row r="872" spans="1:6" ht="15" customHeight="1" x14ac:dyDescent="0.25">
      <c r="A872" s="2" t="s">
        <v>78</v>
      </c>
      <c r="B872" s="2" t="s">
        <v>400</v>
      </c>
      <c r="C872" s="2" t="s">
        <v>486</v>
      </c>
      <c r="D872" s="2" t="s">
        <v>162</v>
      </c>
      <c r="E872" s="2" t="s">
        <v>1309</v>
      </c>
      <c r="F872" s="3">
        <v>-0.93</v>
      </c>
    </row>
    <row r="873" spans="1:6" ht="15" customHeight="1" x14ac:dyDescent="0.25">
      <c r="A873" s="2" t="s">
        <v>78</v>
      </c>
      <c r="B873" s="2" t="s">
        <v>400</v>
      </c>
      <c r="C873" s="2" t="s">
        <v>484</v>
      </c>
      <c r="D873" s="2" t="s">
        <v>166</v>
      </c>
      <c r="E873" s="2" t="s">
        <v>1310</v>
      </c>
      <c r="F873" s="3">
        <v>2.52</v>
      </c>
    </row>
    <row r="874" spans="1:6" ht="15" customHeight="1" x14ac:dyDescent="0.25">
      <c r="A874" s="2" t="s">
        <v>78</v>
      </c>
      <c r="B874" s="2" t="s">
        <v>400</v>
      </c>
      <c r="C874" s="2" t="s">
        <v>484</v>
      </c>
      <c r="D874" s="2" t="s">
        <v>127</v>
      </c>
      <c r="E874" s="2" t="s">
        <v>1311</v>
      </c>
      <c r="F874" s="3">
        <v>13.12</v>
      </c>
    </row>
    <row r="875" spans="1:6" ht="15" customHeight="1" x14ac:dyDescent="0.25">
      <c r="A875" s="2" t="s">
        <v>78</v>
      </c>
      <c r="B875" s="2" t="s">
        <v>400</v>
      </c>
      <c r="C875" s="2" t="s">
        <v>484</v>
      </c>
      <c r="D875" s="2" t="s">
        <v>115</v>
      </c>
      <c r="E875" s="2" t="s">
        <v>1312</v>
      </c>
      <c r="F875" s="3">
        <v>22.48</v>
      </c>
    </row>
    <row r="876" spans="1:6" ht="15" customHeight="1" x14ac:dyDescent="0.25">
      <c r="A876" s="2" t="s">
        <v>78</v>
      </c>
      <c r="B876" s="2" t="s">
        <v>400</v>
      </c>
      <c r="C876" s="2" t="s">
        <v>484</v>
      </c>
      <c r="D876" s="2" t="s">
        <v>119</v>
      </c>
      <c r="E876" s="2" t="s">
        <v>1313</v>
      </c>
      <c r="F876" s="3">
        <v>16.52</v>
      </c>
    </row>
    <row r="877" spans="1:6" ht="15" customHeight="1" x14ac:dyDescent="0.25">
      <c r="A877" s="2" t="s">
        <v>78</v>
      </c>
      <c r="B877" s="2" t="s">
        <v>400</v>
      </c>
      <c r="C877" s="2" t="s">
        <v>484</v>
      </c>
      <c r="D877" s="2" t="s">
        <v>162</v>
      </c>
      <c r="E877" s="2" t="s">
        <v>1314</v>
      </c>
      <c r="F877" s="3">
        <v>6.25</v>
      </c>
    </row>
    <row r="878" spans="1:6" ht="15" customHeight="1" x14ac:dyDescent="0.25">
      <c r="A878" s="2" t="s">
        <v>78</v>
      </c>
      <c r="B878" s="2" t="s">
        <v>401</v>
      </c>
      <c r="C878" s="2" t="s">
        <v>486</v>
      </c>
      <c r="D878" s="2" t="s">
        <v>185</v>
      </c>
      <c r="E878" s="2" t="s">
        <v>1315</v>
      </c>
      <c r="F878" s="3">
        <v>-0.11</v>
      </c>
    </row>
    <row r="879" spans="1:6" ht="15" customHeight="1" x14ac:dyDescent="0.25">
      <c r="A879" s="2" t="s">
        <v>78</v>
      </c>
      <c r="B879" s="2" t="s">
        <v>401</v>
      </c>
      <c r="C879" s="2" t="s">
        <v>486</v>
      </c>
      <c r="D879" s="2" t="s">
        <v>143</v>
      </c>
      <c r="E879" s="2" t="s">
        <v>1316</v>
      </c>
      <c r="F879" s="3">
        <v>-1.71</v>
      </c>
    </row>
    <row r="880" spans="1:6" ht="15" customHeight="1" x14ac:dyDescent="0.25">
      <c r="A880" s="2" t="s">
        <v>78</v>
      </c>
      <c r="B880" s="2" t="s">
        <v>401</v>
      </c>
      <c r="C880" s="2" t="s">
        <v>484</v>
      </c>
      <c r="D880" s="2" t="s">
        <v>185</v>
      </c>
      <c r="E880" s="2" t="s">
        <v>1317</v>
      </c>
      <c r="F880" s="3">
        <v>0.77</v>
      </c>
    </row>
    <row r="881" spans="1:6" ht="15" customHeight="1" x14ac:dyDescent="0.25">
      <c r="A881" s="2" t="s">
        <v>78</v>
      </c>
      <c r="B881" s="2" t="s">
        <v>401</v>
      </c>
      <c r="C881" s="2" t="s">
        <v>484</v>
      </c>
      <c r="D881" s="2" t="s">
        <v>143</v>
      </c>
      <c r="E881" s="2" t="s">
        <v>1318</v>
      </c>
      <c r="F881" s="3">
        <v>11.46</v>
      </c>
    </row>
    <row r="882" spans="1:6" ht="15" customHeight="1" x14ac:dyDescent="0.25">
      <c r="A882" s="2" t="s">
        <v>78</v>
      </c>
      <c r="B882" s="2" t="s">
        <v>402</v>
      </c>
      <c r="C882" s="2" t="s">
        <v>486</v>
      </c>
      <c r="D882" s="2" t="s">
        <v>183</v>
      </c>
      <c r="E882" s="2" t="s">
        <v>1319</v>
      </c>
      <c r="F882" s="3">
        <v>-0.36</v>
      </c>
    </row>
    <row r="883" spans="1:6" ht="15" customHeight="1" x14ac:dyDescent="0.25">
      <c r="A883" s="2" t="s">
        <v>78</v>
      </c>
      <c r="B883" s="2" t="s">
        <v>402</v>
      </c>
      <c r="C883" s="2" t="s">
        <v>486</v>
      </c>
      <c r="D883" s="2" t="s">
        <v>132</v>
      </c>
      <c r="E883" s="2" t="s">
        <v>1320</v>
      </c>
      <c r="F883" s="3">
        <v>-4.3099999999999996</v>
      </c>
    </row>
    <row r="884" spans="1:6" ht="15" customHeight="1" x14ac:dyDescent="0.25">
      <c r="A884" s="2" t="s">
        <v>78</v>
      </c>
      <c r="B884" s="2" t="s">
        <v>402</v>
      </c>
      <c r="C884" s="2" t="s">
        <v>486</v>
      </c>
      <c r="D884" s="2" t="s">
        <v>164</v>
      </c>
      <c r="E884" s="2" t="s">
        <v>1321</v>
      </c>
      <c r="F884" s="3">
        <v>-0.7</v>
      </c>
    </row>
    <row r="885" spans="1:6" ht="15" customHeight="1" x14ac:dyDescent="0.25">
      <c r="A885" s="2" t="s">
        <v>78</v>
      </c>
      <c r="B885" s="2" t="s">
        <v>402</v>
      </c>
      <c r="C885" s="2" t="s">
        <v>484</v>
      </c>
      <c r="D885" s="2" t="s">
        <v>183</v>
      </c>
      <c r="E885" s="2" t="s">
        <v>1322</v>
      </c>
      <c r="F885" s="3">
        <v>2.41</v>
      </c>
    </row>
    <row r="886" spans="1:6" ht="15" customHeight="1" x14ac:dyDescent="0.25">
      <c r="A886" s="2" t="s">
        <v>78</v>
      </c>
      <c r="B886" s="2" t="s">
        <v>402</v>
      </c>
      <c r="C886" s="2" t="s">
        <v>484</v>
      </c>
      <c r="D886" s="2" t="s">
        <v>132</v>
      </c>
      <c r="E886" s="2" t="s">
        <v>1323</v>
      </c>
      <c r="F886" s="3">
        <v>28.74</v>
      </c>
    </row>
    <row r="887" spans="1:6" ht="15" customHeight="1" x14ac:dyDescent="0.25">
      <c r="A887" s="2" t="s">
        <v>78</v>
      </c>
      <c r="B887" s="2" t="s">
        <v>402</v>
      </c>
      <c r="C887" s="2" t="s">
        <v>484</v>
      </c>
      <c r="D887" s="2" t="s">
        <v>164</v>
      </c>
      <c r="E887" s="2" t="s">
        <v>1324</v>
      </c>
      <c r="F887" s="3">
        <v>4.68</v>
      </c>
    </row>
    <row r="888" spans="1:6" ht="15" customHeight="1" x14ac:dyDescent="0.25">
      <c r="A888" s="2" t="s">
        <v>78</v>
      </c>
      <c r="B888" s="2" t="s">
        <v>404</v>
      </c>
      <c r="C888" s="2" t="s">
        <v>486</v>
      </c>
      <c r="D888" s="2" t="s">
        <v>196</v>
      </c>
      <c r="E888" s="2" t="s">
        <v>1325</v>
      </c>
      <c r="F888" s="3">
        <v>-0.46</v>
      </c>
    </row>
    <row r="889" spans="1:6" ht="15" customHeight="1" x14ac:dyDescent="0.25">
      <c r="A889" s="2" t="s">
        <v>78</v>
      </c>
      <c r="B889" s="2" t="s">
        <v>404</v>
      </c>
      <c r="C889" s="2" t="s">
        <v>484</v>
      </c>
      <c r="D889" s="2" t="s">
        <v>196</v>
      </c>
      <c r="E889" s="2" t="s">
        <v>1326</v>
      </c>
      <c r="F889" s="3">
        <v>3.1</v>
      </c>
    </row>
    <row r="890" spans="1:6" ht="15" customHeight="1" x14ac:dyDescent="0.25">
      <c r="A890" s="2" t="s">
        <v>78</v>
      </c>
      <c r="B890" s="2" t="s">
        <v>1327</v>
      </c>
      <c r="C890" s="2" t="s">
        <v>486</v>
      </c>
      <c r="D890" s="2" t="s">
        <v>215</v>
      </c>
      <c r="E890" s="2" t="s">
        <v>1264</v>
      </c>
      <c r="F890" s="3">
        <v>-1.35</v>
      </c>
    </row>
    <row r="891" spans="1:6" ht="15" customHeight="1" x14ac:dyDescent="0.25">
      <c r="A891" s="2" t="s">
        <v>78</v>
      </c>
      <c r="B891" s="2" t="s">
        <v>1327</v>
      </c>
      <c r="C891" s="2" t="s">
        <v>486</v>
      </c>
      <c r="D891" s="2" t="s">
        <v>179</v>
      </c>
      <c r="E891" s="2" t="s">
        <v>1328</v>
      </c>
      <c r="F891" s="3">
        <v>-1.1599999999999999</v>
      </c>
    </row>
    <row r="892" spans="1:6" ht="15" customHeight="1" x14ac:dyDescent="0.25">
      <c r="A892" s="2" t="s">
        <v>78</v>
      </c>
      <c r="B892" s="2" t="s">
        <v>1327</v>
      </c>
      <c r="C892" s="2" t="s">
        <v>484</v>
      </c>
      <c r="D892" s="2" t="s">
        <v>215</v>
      </c>
      <c r="E892" s="2" t="s">
        <v>1329</v>
      </c>
      <c r="F892" s="3">
        <v>9</v>
      </c>
    </row>
    <row r="893" spans="1:6" ht="15" customHeight="1" x14ac:dyDescent="0.25">
      <c r="A893" s="2" t="s">
        <v>78</v>
      </c>
      <c r="B893" s="2" t="s">
        <v>1327</v>
      </c>
      <c r="C893" s="2" t="s">
        <v>484</v>
      </c>
      <c r="D893" s="2" t="s">
        <v>179</v>
      </c>
      <c r="E893" s="2" t="s">
        <v>1330</v>
      </c>
      <c r="F893" s="3">
        <v>7.75</v>
      </c>
    </row>
    <row r="894" spans="1:6" ht="15" customHeight="1" x14ac:dyDescent="0.25">
      <c r="A894" s="2" t="s">
        <v>78</v>
      </c>
      <c r="B894" s="2" t="s">
        <v>406</v>
      </c>
      <c r="C894" s="2" t="s">
        <v>486</v>
      </c>
      <c r="D894" s="2" t="s">
        <v>158</v>
      </c>
      <c r="E894" s="2" t="s">
        <v>1331</v>
      </c>
      <c r="F894" s="3">
        <v>-1.47</v>
      </c>
    </row>
    <row r="895" spans="1:6" ht="15" customHeight="1" x14ac:dyDescent="0.25">
      <c r="A895" s="2" t="s">
        <v>78</v>
      </c>
      <c r="B895" s="2" t="s">
        <v>406</v>
      </c>
      <c r="C895" s="2" t="s">
        <v>484</v>
      </c>
      <c r="D895" s="2" t="s">
        <v>194</v>
      </c>
      <c r="E895" s="2" t="s">
        <v>1332</v>
      </c>
      <c r="F895" s="3">
        <v>67.430000000000007</v>
      </c>
    </row>
    <row r="896" spans="1:6" ht="15" customHeight="1" x14ac:dyDescent="0.25">
      <c r="A896" s="2" t="s">
        <v>78</v>
      </c>
      <c r="B896" s="2" t="s">
        <v>406</v>
      </c>
      <c r="C896" s="2" t="s">
        <v>484</v>
      </c>
      <c r="D896" s="2" t="s">
        <v>164</v>
      </c>
      <c r="E896" s="2" t="s">
        <v>1333</v>
      </c>
      <c r="F896" s="3">
        <v>3.6</v>
      </c>
    </row>
    <row r="897" spans="1:6" ht="15" customHeight="1" x14ac:dyDescent="0.25">
      <c r="A897" s="2" t="s">
        <v>78</v>
      </c>
      <c r="B897" s="2" t="s">
        <v>406</v>
      </c>
      <c r="C897" s="2" t="s">
        <v>486</v>
      </c>
      <c r="D897" s="2" t="s">
        <v>154</v>
      </c>
      <c r="E897" s="2" t="s">
        <v>1334</v>
      </c>
      <c r="F897" s="3">
        <v>-0.15</v>
      </c>
    </row>
    <row r="898" spans="1:6" ht="15" customHeight="1" x14ac:dyDescent="0.25">
      <c r="A898" s="2" t="s">
        <v>78</v>
      </c>
      <c r="B898" s="2" t="s">
        <v>406</v>
      </c>
      <c r="C898" s="2" t="s">
        <v>484</v>
      </c>
      <c r="D898" s="2" t="s">
        <v>154</v>
      </c>
      <c r="E898" s="2" t="s">
        <v>1335</v>
      </c>
      <c r="F898" s="3">
        <v>1.02</v>
      </c>
    </row>
    <row r="899" spans="1:6" ht="15" customHeight="1" x14ac:dyDescent="0.25">
      <c r="A899" s="2" t="s">
        <v>78</v>
      </c>
      <c r="B899" s="2" t="s">
        <v>406</v>
      </c>
      <c r="C899" s="2" t="s">
        <v>486</v>
      </c>
      <c r="D899" s="2" t="s">
        <v>145</v>
      </c>
      <c r="E899" s="2" t="s">
        <v>1336</v>
      </c>
      <c r="F899" s="3">
        <v>-5.3</v>
      </c>
    </row>
    <row r="900" spans="1:6" ht="15" customHeight="1" x14ac:dyDescent="0.25">
      <c r="A900" s="2" t="s">
        <v>78</v>
      </c>
      <c r="B900" s="2" t="s">
        <v>406</v>
      </c>
      <c r="C900" s="2" t="s">
        <v>484</v>
      </c>
      <c r="D900" s="2" t="s">
        <v>145</v>
      </c>
      <c r="E900" s="2" t="s">
        <v>1337</v>
      </c>
      <c r="F900" s="3">
        <v>35.36</v>
      </c>
    </row>
    <row r="901" spans="1:6" ht="15" customHeight="1" x14ac:dyDescent="0.25">
      <c r="A901" s="2" t="s">
        <v>78</v>
      </c>
      <c r="B901" s="2" t="s">
        <v>406</v>
      </c>
      <c r="C901" s="2" t="s">
        <v>486</v>
      </c>
      <c r="D901" s="2" t="s">
        <v>164</v>
      </c>
      <c r="E901" s="2" t="s">
        <v>1338</v>
      </c>
      <c r="F901" s="3">
        <v>-0.54</v>
      </c>
    </row>
    <row r="902" spans="1:6" ht="15" customHeight="1" x14ac:dyDescent="0.25">
      <c r="A902" s="2" t="s">
        <v>78</v>
      </c>
      <c r="B902" s="2" t="s">
        <v>406</v>
      </c>
      <c r="C902" s="2" t="s">
        <v>486</v>
      </c>
      <c r="D902" s="2" t="s">
        <v>194</v>
      </c>
      <c r="E902" s="2" t="s">
        <v>1339</v>
      </c>
      <c r="F902" s="3">
        <v>-10.11</v>
      </c>
    </row>
    <row r="903" spans="1:6" ht="15" customHeight="1" x14ac:dyDescent="0.25">
      <c r="A903" s="2" t="s">
        <v>78</v>
      </c>
      <c r="B903" s="2" t="s">
        <v>406</v>
      </c>
      <c r="C903" s="2" t="s">
        <v>484</v>
      </c>
      <c r="D903" s="2" t="s">
        <v>158</v>
      </c>
      <c r="E903" s="2" t="s">
        <v>1340</v>
      </c>
      <c r="F903" s="3">
        <v>9.8000000000000007</v>
      </c>
    </row>
    <row r="904" spans="1:6" ht="15" customHeight="1" x14ac:dyDescent="0.25">
      <c r="A904" s="2" t="s">
        <v>78</v>
      </c>
      <c r="B904" s="2" t="s">
        <v>407</v>
      </c>
      <c r="C904" s="2" t="s">
        <v>486</v>
      </c>
      <c r="D904" s="2" t="s">
        <v>140</v>
      </c>
      <c r="E904" s="2" t="s">
        <v>1341</v>
      </c>
      <c r="F904" s="3">
        <v>-5.54</v>
      </c>
    </row>
    <row r="905" spans="1:6" ht="15" customHeight="1" x14ac:dyDescent="0.25">
      <c r="A905" s="2" t="s">
        <v>78</v>
      </c>
      <c r="B905" s="2" t="s">
        <v>407</v>
      </c>
      <c r="C905" s="2" t="s">
        <v>486</v>
      </c>
      <c r="D905" s="2" t="s">
        <v>134</v>
      </c>
      <c r="E905" s="2" t="s">
        <v>1342</v>
      </c>
      <c r="F905" s="3">
        <v>-1.38</v>
      </c>
    </row>
    <row r="906" spans="1:6" ht="15" customHeight="1" x14ac:dyDescent="0.25">
      <c r="A906" s="2" t="s">
        <v>78</v>
      </c>
      <c r="B906" s="2" t="s">
        <v>407</v>
      </c>
      <c r="C906" s="2" t="s">
        <v>486</v>
      </c>
      <c r="D906" s="2" t="s">
        <v>136</v>
      </c>
      <c r="E906" s="2" t="s">
        <v>1343</v>
      </c>
      <c r="F906" s="3">
        <v>-0.88</v>
      </c>
    </row>
    <row r="907" spans="1:6" ht="15" customHeight="1" x14ac:dyDescent="0.25">
      <c r="A907" s="2" t="s">
        <v>78</v>
      </c>
      <c r="B907" s="2" t="s">
        <v>407</v>
      </c>
      <c r="C907" s="2" t="s">
        <v>486</v>
      </c>
      <c r="D907" s="2" t="s">
        <v>164</v>
      </c>
      <c r="E907" s="2" t="s">
        <v>1298</v>
      </c>
      <c r="F907" s="3">
        <v>-0.79</v>
      </c>
    </row>
    <row r="908" spans="1:6" ht="15" customHeight="1" x14ac:dyDescent="0.25">
      <c r="A908" s="2" t="s">
        <v>78</v>
      </c>
      <c r="B908" s="2" t="s">
        <v>407</v>
      </c>
      <c r="C908" s="2" t="s">
        <v>484</v>
      </c>
      <c r="D908" s="2" t="s">
        <v>140</v>
      </c>
      <c r="E908" s="2" t="s">
        <v>1344</v>
      </c>
      <c r="F908" s="3">
        <v>36.99</v>
      </c>
    </row>
    <row r="909" spans="1:6" ht="15" customHeight="1" x14ac:dyDescent="0.25">
      <c r="A909" s="2" t="s">
        <v>78</v>
      </c>
      <c r="B909" s="2" t="s">
        <v>407</v>
      </c>
      <c r="C909" s="2" t="s">
        <v>484</v>
      </c>
      <c r="D909" s="2" t="s">
        <v>134</v>
      </c>
      <c r="E909" s="2" t="s">
        <v>1345</v>
      </c>
      <c r="F909" s="3">
        <v>9.24</v>
      </c>
    </row>
    <row r="910" spans="1:6" ht="15" customHeight="1" x14ac:dyDescent="0.25">
      <c r="A910" s="2" t="s">
        <v>78</v>
      </c>
      <c r="B910" s="2" t="s">
        <v>407</v>
      </c>
      <c r="C910" s="2" t="s">
        <v>484</v>
      </c>
      <c r="D910" s="2" t="s">
        <v>136</v>
      </c>
      <c r="E910" s="2" t="s">
        <v>1346</v>
      </c>
      <c r="F910" s="3">
        <v>5.89</v>
      </c>
    </row>
    <row r="911" spans="1:6" ht="15" customHeight="1" x14ac:dyDescent="0.25">
      <c r="A911" s="2" t="s">
        <v>78</v>
      </c>
      <c r="B911" s="2" t="s">
        <v>407</v>
      </c>
      <c r="C911" s="2" t="s">
        <v>484</v>
      </c>
      <c r="D911" s="2" t="s">
        <v>164</v>
      </c>
      <c r="E911" s="2" t="s">
        <v>1347</v>
      </c>
      <c r="F911" s="3">
        <v>5.31</v>
      </c>
    </row>
    <row r="912" spans="1:6" ht="15" customHeight="1" x14ac:dyDescent="0.25">
      <c r="A912" s="2" t="s">
        <v>78</v>
      </c>
      <c r="B912" s="2" t="s">
        <v>1348</v>
      </c>
      <c r="C912" s="2" t="s">
        <v>486</v>
      </c>
      <c r="D912" s="2" t="s">
        <v>187</v>
      </c>
      <c r="E912" s="2" t="s">
        <v>911</v>
      </c>
      <c r="F912" s="3">
        <v>-0.45</v>
      </c>
    </row>
    <row r="913" spans="1:6" ht="15" customHeight="1" x14ac:dyDescent="0.25">
      <c r="A913" s="2" t="s">
        <v>78</v>
      </c>
      <c r="B913" s="2" t="s">
        <v>1348</v>
      </c>
      <c r="C913" s="2" t="s">
        <v>486</v>
      </c>
      <c r="D913" s="2" t="s">
        <v>181</v>
      </c>
      <c r="E913" s="2" t="s">
        <v>1156</v>
      </c>
      <c r="F913" s="3">
        <v>-0.38</v>
      </c>
    </row>
    <row r="914" spans="1:6" ht="15" customHeight="1" x14ac:dyDescent="0.25">
      <c r="A914" s="2" t="s">
        <v>78</v>
      </c>
      <c r="B914" s="2" t="s">
        <v>1348</v>
      </c>
      <c r="C914" s="2" t="s">
        <v>484</v>
      </c>
      <c r="D914" s="2" t="s">
        <v>187</v>
      </c>
      <c r="E914" s="2" t="s">
        <v>1349</v>
      </c>
      <c r="F914" s="3">
        <v>3.06</v>
      </c>
    </row>
    <row r="915" spans="1:6" ht="15" customHeight="1" x14ac:dyDescent="0.25">
      <c r="A915" s="2" t="s">
        <v>78</v>
      </c>
      <c r="B915" s="2" t="s">
        <v>1348</v>
      </c>
      <c r="C915" s="2" t="s">
        <v>484</v>
      </c>
      <c r="D915" s="2" t="s">
        <v>181</v>
      </c>
      <c r="E915" s="2" t="s">
        <v>1350</v>
      </c>
      <c r="F915" s="3">
        <v>2.59</v>
      </c>
    </row>
    <row r="916" spans="1:6" ht="15" customHeight="1" x14ac:dyDescent="0.25">
      <c r="A916" s="2" t="s">
        <v>78</v>
      </c>
      <c r="B916" s="2" t="s">
        <v>409</v>
      </c>
      <c r="C916" s="2" t="s">
        <v>486</v>
      </c>
      <c r="D916" s="2" t="s">
        <v>190</v>
      </c>
      <c r="E916" s="2" t="s">
        <v>1351</v>
      </c>
      <c r="F916" s="3">
        <v>-0.41</v>
      </c>
    </row>
    <row r="917" spans="1:6" ht="15" customHeight="1" x14ac:dyDescent="0.25">
      <c r="A917" s="2" t="s">
        <v>78</v>
      </c>
      <c r="B917" s="2" t="s">
        <v>409</v>
      </c>
      <c r="C917" s="2" t="s">
        <v>486</v>
      </c>
      <c r="D917" s="2" t="s">
        <v>204</v>
      </c>
      <c r="E917" s="2" t="s">
        <v>1352</v>
      </c>
      <c r="F917" s="3">
        <v>-0.35</v>
      </c>
    </row>
    <row r="918" spans="1:6" ht="15" customHeight="1" x14ac:dyDescent="0.25">
      <c r="A918" s="2" t="s">
        <v>78</v>
      </c>
      <c r="B918" s="2" t="s">
        <v>409</v>
      </c>
      <c r="C918" s="2" t="s">
        <v>486</v>
      </c>
      <c r="D918" s="2" t="s">
        <v>170</v>
      </c>
      <c r="E918" s="2" t="s">
        <v>900</v>
      </c>
      <c r="F918" s="3">
        <v>-0.53</v>
      </c>
    </row>
    <row r="919" spans="1:6" ht="15" customHeight="1" x14ac:dyDescent="0.25">
      <c r="A919" s="2" t="s">
        <v>78</v>
      </c>
      <c r="B919" s="2" t="s">
        <v>409</v>
      </c>
      <c r="C919" s="2" t="s">
        <v>484</v>
      </c>
      <c r="D919" s="2" t="s">
        <v>164</v>
      </c>
      <c r="E919" s="2" t="s">
        <v>1353</v>
      </c>
      <c r="F919" s="3">
        <v>4.49</v>
      </c>
    </row>
    <row r="920" spans="1:6" ht="15" customHeight="1" x14ac:dyDescent="0.25">
      <c r="A920" s="2" t="s">
        <v>78</v>
      </c>
      <c r="B920" s="2" t="s">
        <v>409</v>
      </c>
      <c r="C920" s="2" t="s">
        <v>486</v>
      </c>
      <c r="D920" s="2" t="s">
        <v>152</v>
      </c>
      <c r="E920" s="2" t="s">
        <v>1354</v>
      </c>
      <c r="F920" s="3">
        <v>-6.22</v>
      </c>
    </row>
    <row r="921" spans="1:6" ht="15" customHeight="1" x14ac:dyDescent="0.25">
      <c r="A921" s="2" t="s">
        <v>78</v>
      </c>
      <c r="B921" s="2" t="s">
        <v>409</v>
      </c>
      <c r="C921" s="2" t="s">
        <v>486</v>
      </c>
      <c r="D921" s="2" t="s">
        <v>164</v>
      </c>
      <c r="E921" s="2" t="s">
        <v>1355</v>
      </c>
      <c r="F921" s="3">
        <v>-0.67</v>
      </c>
    </row>
    <row r="922" spans="1:6" ht="15" customHeight="1" x14ac:dyDescent="0.25">
      <c r="A922" s="2" t="s">
        <v>78</v>
      </c>
      <c r="B922" s="2" t="s">
        <v>409</v>
      </c>
      <c r="C922" s="2" t="s">
        <v>484</v>
      </c>
      <c r="D922" s="2" t="s">
        <v>152</v>
      </c>
      <c r="E922" s="2" t="s">
        <v>1356</v>
      </c>
      <c r="F922" s="3">
        <v>41.53</v>
      </c>
    </row>
    <row r="923" spans="1:6" ht="15" customHeight="1" x14ac:dyDescent="0.25">
      <c r="A923" s="2" t="s">
        <v>78</v>
      </c>
      <c r="B923" s="2" t="s">
        <v>409</v>
      </c>
      <c r="C923" s="2" t="s">
        <v>486</v>
      </c>
      <c r="D923" s="2" t="s">
        <v>121</v>
      </c>
      <c r="E923" s="2" t="s">
        <v>1357</v>
      </c>
      <c r="F923" s="3">
        <v>-3.61</v>
      </c>
    </row>
    <row r="924" spans="1:6" ht="15" customHeight="1" x14ac:dyDescent="0.25">
      <c r="A924" s="2" t="s">
        <v>78</v>
      </c>
      <c r="B924" s="2" t="s">
        <v>409</v>
      </c>
      <c r="C924" s="2" t="s">
        <v>484</v>
      </c>
      <c r="D924" s="2" t="s">
        <v>204</v>
      </c>
      <c r="E924" s="2" t="s">
        <v>1358</v>
      </c>
      <c r="F924" s="3">
        <v>2.38</v>
      </c>
    </row>
    <row r="925" spans="1:6" ht="15" customHeight="1" x14ac:dyDescent="0.25">
      <c r="A925" s="2" t="s">
        <v>78</v>
      </c>
      <c r="B925" s="2" t="s">
        <v>409</v>
      </c>
      <c r="C925" s="2" t="s">
        <v>484</v>
      </c>
      <c r="D925" s="2" t="s">
        <v>170</v>
      </c>
      <c r="E925" s="2" t="s">
        <v>1359</v>
      </c>
      <c r="F925" s="3">
        <v>3.58</v>
      </c>
    </row>
    <row r="926" spans="1:6" ht="15" customHeight="1" x14ac:dyDescent="0.25">
      <c r="A926" s="2" t="s">
        <v>78</v>
      </c>
      <c r="B926" s="2" t="s">
        <v>409</v>
      </c>
      <c r="C926" s="2" t="s">
        <v>484</v>
      </c>
      <c r="D926" s="2" t="s">
        <v>121</v>
      </c>
      <c r="E926" s="2" t="s">
        <v>1360</v>
      </c>
      <c r="F926" s="3">
        <v>24.08</v>
      </c>
    </row>
    <row r="927" spans="1:6" ht="15" customHeight="1" x14ac:dyDescent="0.25">
      <c r="A927" s="2" t="s">
        <v>78</v>
      </c>
      <c r="B927" s="2" t="s">
        <v>409</v>
      </c>
      <c r="C927" s="2" t="s">
        <v>484</v>
      </c>
      <c r="D927" s="2" t="s">
        <v>190</v>
      </c>
      <c r="E927" s="2" t="s">
        <v>1361</v>
      </c>
      <c r="F927" s="3">
        <v>2.79</v>
      </c>
    </row>
    <row r="928" spans="1:6" ht="15" customHeight="1" x14ac:dyDescent="0.25">
      <c r="A928" s="2" t="s">
        <v>80</v>
      </c>
      <c r="B928" s="2" t="s">
        <v>1362</v>
      </c>
      <c r="C928" s="2" t="s">
        <v>486</v>
      </c>
      <c r="D928" s="2" t="s">
        <v>218</v>
      </c>
      <c r="E928" s="2" t="s">
        <v>1363</v>
      </c>
      <c r="F928" s="3">
        <v>-0.41</v>
      </c>
    </row>
    <row r="929" spans="1:6" ht="15" customHeight="1" x14ac:dyDescent="0.25">
      <c r="A929" s="2" t="s">
        <v>80</v>
      </c>
      <c r="B929" s="2" t="s">
        <v>1362</v>
      </c>
      <c r="C929" s="2" t="s">
        <v>484</v>
      </c>
      <c r="D929" s="2" t="s">
        <v>218</v>
      </c>
      <c r="E929" s="2" t="s">
        <v>1364</v>
      </c>
      <c r="F929" s="3">
        <v>2.76</v>
      </c>
    </row>
    <row r="930" spans="1:6" ht="15" customHeight="1" x14ac:dyDescent="0.25">
      <c r="A930" s="2" t="s">
        <v>80</v>
      </c>
      <c r="B930" s="2" t="s">
        <v>1362</v>
      </c>
      <c r="C930" s="2" t="s">
        <v>486</v>
      </c>
      <c r="D930" s="2" t="s">
        <v>129</v>
      </c>
      <c r="E930" s="2" t="s">
        <v>1365</v>
      </c>
      <c r="F930" s="3">
        <v>-2.31</v>
      </c>
    </row>
    <row r="931" spans="1:6" ht="15" customHeight="1" x14ac:dyDescent="0.25">
      <c r="A931" s="2" t="s">
        <v>80</v>
      </c>
      <c r="B931" s="2" t="s">
        <v>1362</v>
      </c>
      <c r="C931" s="2" t="s">
        <v>484</v>
      </c>
      <c r="D931" s="2" t="s">
        <v>129</v>
      </c>
      <c r="E931" s="2" t="s">
        <v>1366</v>
      </c>
      <c r="F931" s="3">
        <v>15.46</v>
      </c>
    </row>
    <row r="932" spans="1:6" ht="15" customHeight="1" x14ac:dyDescent="0.25">
      <c r="A932" s="2" t="s">
        <v>80</v>
      </c>
      <c r="B932" s="2" t="s">
        <v>1367</v>
      </c>
      <c r="C932" s="2" t="s">
        <v>486</v>
      </c>
      <c r="D932" s="2" t="s">
        <v>127</v>
      </c>
      <c r="E932" s="2" t="s">
        <v>986</v>
      </c>
      <c r="F932" s="3">
        <v>-2.0099999999999998</v>
      </c>
    </row>
    <row r="933" spans="1:6" ht="15" customHeight="1" x14ac:dyDescent="0.25">
      <c r="A933" s="2" t="s">
        <v>80</v>
      </c>
      <c r="B933" s="2" t="s">
        <v>1367</v>
      </c>
      <c r="C933" s="2" t="s">
        <v>486</v>
      </c>
      <c r="D933" s="2" t="s">
        <v>166</v>
      </c>
      <c r="E933" s="2" t="s">
        <v>1368</v>
      </c>
      <c r="F933" s="3">
        <v>-0.39</v>
      </c>
    </row>
    <row r="934" spans="1:6" ht="15" customHeight="1" x14ac:dyDescent="0.25">
      <c r="A934" s="2" t="s">
        <v>80</v>
      </c>
      <c r="B934" s="2" t="s">
        <v>1367</v>
      </c>
      <c r="C934" s="2" t="s">
        <v>486</v>
      </c>
      <c r="D934" s="2" t="s">
        <v>132</v>
      </c>
      <c r="E934" s="2" t="s">
        <v>1369</v>
      </c>
      <c r="F934" s="3">
        <v>-6.76</v>
      </c>
    </row>
    <row r="935" spans="1:6" ht="15" customHeight="1" x14ac:dyDescent="0.25">
      <c r="A935" s="2" t="s">
        <v>80</v>
      </c>
      <c r="B935" s="2" t="s">
        <v>1367</v>
      </c>
      <c r="C935" s="2" t="s">
        <v>486</v>
      </c>
      <c r="D935" s="2" t="s">
        <v>119</v>
      </c>
      <c r="E935" s="2" t="s">
        <v>1370</v>
      </c>
      <c r="F935" s="3">
        <v>-2.46</v>
      </c>
    </row>
    <row r="936" spans="1:6" ht="15" customHeight="1" x14ac:dyDescent="0.25">
      <c r="A936" s="2" t="s">
        <v>80</v>
      </c>
      <c r="B936" s="2" t="s">
        <v>1367</v>
      </c>
      <c r="C936" s="2" t="s">
        <v>486</v>
      </c>
      <c r="D936" s="2" t="s">
        <v>162</v>
      </c>
      <c r="E936" s="2" t="s">
        <v>1371</v>
      </c>
      <c r="F936" s="3">
        <v>-0.94</v>
      </c>
    </row>
    <row r="937" spans="1:6" ht="15" customHeight="1" x14ac:dyDescent="0.25">
      <c r="A937" s="2" t="s">
        <v>80</v>
      </c>
      <c r="B937" s="2" t="s">
        <v>1367</v>
      </c>
      <c r="C937" s="2" t="s">
        <v>486</v>
      </c>
      <c r="D937" s="2" t="s">
        <v>115</v>
      </c>
      <c r="E937" s="2" t="s">
        <v>1372</v>
      </c>
      <c r="F937" s="3">
        <v>-3.4</v>
      </c>
    </row>
    <row r="938" spans="1:6" ht="15" customHeight="1" x14ac:dyDescent="0.25">
      <c r="A938" s="2" t="s">
        <v>80</v>
      </c>
      <c r="B938" s="2" t="s">
        <v>1367</v>
      </c>
      <c r="C938" s="2" t="s">
        <v>486</v>
      </c>
      <c r="D938" s="2" t="s">
        <v>164</v>
      </c>
      <c r="E938" s="2" t="s">
        <v>900</v>
      </c>
      <c r="F938" s="3">
        <v>-0.53</v>
      </c>
    </row>
    <row r="939" spans="1:6" ht="15" customHeight="1" x14ac:dyDescent="0.25">
      <c r="A939" s="2" t="s">
        <v>80</v>
      </c>
      <c r="B939" s="2" t="s">
        <v>1367</v>
      </c>
      <c r="C939" s="2" t="s">
        <v>484</v>
      </c>
      <c r="D939" s="2" t="s">
        <v>127</v>
      </c>
      <c r="E939" s="2" t="s">
        <v>1373</v>
      </c>
      <c r="F939" s="3">
        <v>13.43</v>
      </c>
    </row>
    <row r="940" spans="1:6" ht="15" customHeight="1" x14ac:dyDescent="0.25">
      <c r="A940" s="2" t="s">
        <v>80</v>
      </c>
      <c r="B940" s="2" t="s">
        <v>1367</v>
      </c>
      <c r="C940" s="2" t="s">
        <v>484</v>
      </c>
      <c r="D940" s="2" t="s">
        <v>166</v>
      </c>
      <c r="E940" s="2" t="s">
        <v>1374</v>
      </c>
      <c r="F940" s="3">
        <v>2.61</v>
      </c>
    </row>
    <row r="941" spans="1:6" ht="15" customHeight="1" x14ac:dyDescent="0.25">
      <c r="A941" s="2" t="s">
        <v>80</v>
      </c>
      <c r="B941" s="2" t="s">
        <v>1367</v>
      </c>
      <c r="C941" s="2" t="s">
        <v>484</v>
      </c>
      <c r="D941" s="2" t="s">
        <v>132</v>
      </c>
      <c r="E941" s="2" t="s">
        <v>1375</v>
      </c>
      <c r="F941" s="3">
        <v>45.12</v>
      </c>
    </row>
    <row r="942" spans="1:6" ht="15" customHeight="1" x14ac:dyDescent="0.25">
      <c r="A942" s="2" t="s">
        <v>80</v>
      </c>
      <c r="B942" s="2" t="s">
        <v>1367</v>
      </c>
      <c r="C942" s="2" t="s">
        <v>484</v>
      </c>
      <c r="D942" s="2" t="s">
        <v>119</v>
      </c>
      <c r="E942" s="2" t="s">
        <v>1376</v>
      </c>
      <c r="F942" s="3">
        <v>16.420000000000002</v>
      </c>
    </row>
    <row r="943" spans="1:6" ht="15" customHeight="1" x14ac:dyDescent="0.25">
      <c r="A943" s="2" t="s">
        <v>80</v>
      </c>
      <c r="B943" s="2" t="s">
        <v>1367</v>
      </c>
      <c r="C943" s="2" t="s">
        <v>484</v>
      </c>
      <c r="D943" s="2" t="s">
        <v>162</v>
      </c>
      <c r="E943" s="2" t="s">
        <v>1377</v>
      </c>
      <c r="F943" s="3">
        <v>6.32</v>
      </c>
    </row>
    <row r="944" spans="1:6" ht="15" customHeight="1" x14ac:dyDescent="0.25">
      <c r="A944" s="2" t="s">
        <v>80</v>
      </c>
      <c r="B944" s="2" t="s">
        <v>1367</v>
      </c>
      <c r="C944" s="2" t="s">
        <v>484</v>
      </c>
      <c r="D944" s="2" t="s">
        <v>115</v>
      </c>
      <c r="E944" s="2" t="s">
        <v>1378</v>
      </c>
      <c r="F944" s="3">
        <v>22.68</v>
      </c>
    </row>
    <row r="945" spans="1:6" ht="15" customHeight="1" x14ac:dyDescent="0.25">
      <c r="A945" s="2" t="s">
        <v>80</v>
      </c>
      <c r="B945" s="2" t="s">
        <v>1367</v>
      </c>
      <c r="C945" s="2" t="s">
        <v>484</v>
      </c>
      <c r="D945" s="2" t="s">
        <v>164</v>
      </c>
      <c r="E945" s="2" t="s">
        <v>1379</v>
      </c>
      <c r="F945" s="3">
        <v>3.58</v>
      </c>
    </row>
    <row r="946" spans="1:6" ht="15" customHeight="1" x14ac:dyDescent="0.25">
      <c r="A946" s="2" t="s">
        <v>80</v>
      </c>
      <c r="B946" s="2" t="s">
        <v>1380</v>
      </c>
      <c r="C946" s="2" t="s">
        <v>486</v>
      </c>
      <c r="D946" s="2" t="s">
        <v>143</v>
      </c>
      <c r="E946" s="2" t="s">
        <v>1381</v>
      </c>
      <c r="F946" s="3">
        <v>-1.79</v>
      </c>
    </row>
    <row r="947" spans="1:6" ht="15" customHeight="1" x14ac:dyDescent="0.25">
      <c r="A947" s="2" t="s">
        <v>80</v>
      </c>
      <c r="B947" s="2" t="s">
        <v>1380</v>
      </c>
      <c r="C947" s="2" t="s">
        <v>486</v>
      </c>
      <c r="D947" s="2" t="s">
        <v>185</v>
      </c>
      <c r="E947" s="2" t="s">
        <v>1382</v>
      </c>
      <c r="F947" s="3">
        <v>-0.13</v>
      </c>
    </row>
    <row r="948" spans="1:6" ht="15" customHeight="1" x14ac:dyDescent="0.25">
      <c r="A948" s="2" t="s">
        <v>80</v>
      </c>
      <c r="B948" s="2" t="s">
        <v>1380</v>
      </c>
      <c r="C948" s="2" t="s">
        <v>484</v>
      </c>
      <c r="D948" s="2" t="s">
        <v>143</v>
      </c>
      <c r="E948" s="2" t="s">
        <v>1383</v>
      </c>
      <c r="F948" s="3">
        <v>11.94</v>
      </c>
    </row>
    <row r="949" spans="1:6" ht="15" customHeight="1" x14ac:dyDescent="0.25">
      <c r="A949" s="2" t="s">
        <v>80</v>
      </c>
      <c r="B949" s="2" t="s">
        <v>1380</v>
      </c>
      <c r="C949" s="2" t="s">
        <v>484</v>
      </c>
      <c r="D949" s="2" t="s">
        <v>185</v>
      </c>
      <c r="E949" s="2" t="s">
        <v>1384</v>
      </c>
      <c r="F949" s="3">
        <v>0.9</v>
      </c>
    </row>
    <row r="950" spans="1:6" ht="15" customHeight="1" x14ac:dyDescent="0.25">
      <c r="A950" s="2" t="s">
        <v>80</v>
      </c>
      <c r="B950" s="2" t="s">
        <v>1385</v>
      </c>
      <c r="C950" s="2" t="s">
        <v>486</v>
      </c>
      <c r="D950" s="2" t="s">
        <v>183</v>
      </c>
      <c r="E950" s="2" t="s">
        <v>1386</v>
      </c>
      <c r="F950" s="3">
        <v>-0.38</v>
      </c>
    </row>
    <row r="951" spans="1:6" ht="15" customHeight="1" x14ac:dyDescent="0.25">
      <c r="A951" s="2" t="s">
        <v>80</v>
      </c>
      <c r="B951" s="2" t="s">
        <v>1385</v>
      </c>
      <c r="C951" s="2" t="s">
        <v>484</v>
      </c>
      <c r="D951" s="2" t="s">
        <v>183</v>
      </c>
      <c r="E951" s="2" t="s">
        <v>1387</v>
      </c>
      <c r="F951" s="3">
        <v>2.56</v>
      </c>
    </row>
    <row r="952" spans="1:6" ht="15" customHeight="1" x14ac:dyDescent="0.25">
      <c r="A952" s="2" t="s">
        <v>80</v>
      </c>
      <c r="B952" s="2" t="s">
        <v>1388</v>
      </c>
      <c r="C952" s="2" t="s">
        <v>486</v>
      </c>
      <c r="D952" s="2" t="s">
        <v>179</v>
      </c>
      <c r="E952" s="2" t="s">
        <v>662</v>
      </c>
      <c r="F952" s="3">
        <v>-1.2</v>
      </c>
    </row>
    <row r="953" spans="1:6" ht="15" customHeight="1" x14ac:dyDescent="0.25">
      <c r="A953" s="2" t="s">
        <v>80</v>
      </c>
      <c r="B953" s="2" t="s">
        <v>1388</v>
      </c>
      <c r="C953" s="2" t="s">
        <v>486</v>
      </c>
      <c r="D953" s="2" t="s">
        <v>215</v>
      </c>
      <c r="E953" s="2" t="s">
        <v>1389</v>
      </c>
      <c r="F953" s="3">
        <v>-1.57</v>
      </c>
    </row>
    <row r="954" spans="1:6" ht="15" customHeight="1" x14ac:dyDescent="0.25">
      <c r="A954" s="2" t="s">
        <v>80</v>
      </c>
      <c r="B954" s="2" t="s">
        <v>1388</v>
      </c>
      <c r="C954" s="2" t="s">
        <v>486</v>
      </c>
      <c r="D954" s="2" t="s">
        <v>196</v>
      </c>
      <c r="E954" s="2" t="s">
        <v>1325</v>
      </c>
      <c r="F954" s="3">
        <v>-0.46</v>
      </c>
    </row>
    <row r="955" spans="1:6" ht="15" customHeight="1" x14ac:dyDescent="0.25">
      <c r="A955" s="2" t="s">
        <v>80</v>
      </c>
      <c r="B955" s="2" t="s">
        <v>1388</v>
      </c>
      <c r="C955" s="2" t="s">
        <v>484</v>
      </c>
      <c r="D955" s="2" t="s">
        <v>215</v>
      </c>
      <c r="E955" s="2" t="s">
        <v>1390</v>
      </c>
      <c r="F955" s="3">
        <v>10.5</v>
      </c>
    </row>
    <row r="956" spans="1:6" ht="15" customHeight="1" x14ac:dyDescent="0.25">
      <c r="A956" s="2" t="s">
        <v>80</v>
      </c>
      <c r="B956" s="2" t="s">
        <v>1388</v>
      </c>
      <c r="C956" s="2" t="s">
        <v>484</v>
      </c>
      <c r="D956" s="2" t="s">
        <v>179</v>
      </c>
      <c r="E956" s="2" t="s">
        <v>1391</v>
      </c>
      <c r="F956" s="3">
        <v>8</v>
      </c>
    </row>
    <row r="957" spans="1:6" ht="15" customHeight="1" x14ac:dyDescent="0.25">
      <c r="A957" s="2" t="s">
        <v>80</v>
      </c>
      <c r="B957" s="2" t="s">
        <v>1388</v>
      </c>
      <c r="C957" s="2" t="s">
        <v>484</v>
      </c>
      <c r="D957" s="2" t="s">
        <v>196</v>
      </c>
      <c r="E957" s="2" t="s">
        <v>1392</v>
      </c>
      <c r="F957" s="3">
        <v>3.1</v>
      </c>
    </row>
    <row r="958" spans="1:6" ht="15" customHeight="1" x14ac:dyDescent="0.25">
      <c r="A958" s="2" t="s">
        <v>80</v>
      </c>
      <c r="B958" s="2" t="s">
        <v>1393</v>
      </c>
      <c r="C958" s="2" t="s">
        <v>486</v>
      </c>
      <c r="D958" s="2" t="s">
        <v>158</v>
      </c>
      <c r="E958" s="2" t="s">
        <v>1394</v>
      </c>
      <c r="F958" s="3">
        <v>-1.0900000000000001</v>
      </c>
    </row>
    <row r="959" spans="1:6" ht="15" customHeight="1" x14ac:dyDescent="0.25">
      <c r="A959" s="2" t="s">
        <v>80</v>
      </c>
      <c r="B959" s="2" t="s">
        <v>1393</v>
      </c>
      <c r="C959" s="2" t="s">
        <v>486</v>
      </c>
      <c r="D959" s="2" t="s">
        <v>194</v>
      </c>
      <c r="E959" s="2" t="s">
        <v>1395</v>
      </c>
      <c r="F959" s="3">
        <v>-3.29</v>
      </c>
    </row>
    <row r="960" spans="1:6" ht="15" customHeight="1" x14ac:dyDescent="0.25">
      <c r="A960" s="2" t="s">
        <v>80</v>
      </c>
      <c r="B960" s="2" t="s">
        <v>1393</v>
      </c>
      <c r="C960" s="2" t="s">
        <v>486</v>
      </c>
      <c r="D960" s="2" t="s">
        <v>145</v>
      </c>
      <c r="E960" s="2" t="s">
        <v>1396</v>
      </c>
      <c r="F960" s="3">
        <v>-4.09</v>
      </c>
    </row>
    <row r="961" spans="1:6" ht="15" customHeight="1" x14ac:dyDescent="0.25">
      <c r="A961" s="2" t="s">
        <v>80</v>
      </c>
      <c r="B961" s="2" t="s">
        <v>1393</v>
      </c>
      <c r="C961" s="2" t="s">
        <v>486</v>
      </c>
      <c r="D961" s="2" t="s">
        <v>164</v>
      </c>
      <c r="E961" s="2" t="s">
        <v>1397</v>
      </c>
      <c r="F961" s="3">
        <v>-0.64</v>
      </c>
    </row>
    <row r="962" spans="1:6" ht="15" customHeight="1" x14ac:dyDescent="0.25">
      <c r="A962" s="2" t="s">
        <v>80</v>
      </c>
      <c r="B962" s="2" t="s">
        <v>1393</v>
      </c>
      <c r="C962" s="2" t="s">
        <v>484</v>
      </c>
      <c r="D962" s="2" t="s">
        <v>158</v>
      </c>
      <c r="E962" s="2" t="s">
        <v>1398</v>
      </c>
      <c r="F962" s="3">
        <v>7.31</v>
      </c>
    </row>
    <row r="963" spans="1:6" ht="15" customHeight="1" x14ac:dyDescent="0.25">
      <c r="A963" s="2" t="s">
        <v>80</v>
      </c>
      <c r="B963" s="2" t="s">
        <v>1393</v>
      </c>
      <c r="C963" s="2" t="s">
        <v>484</v>
      </c>
      <c r="D963" s="2" t="s">
        <v>194</v>
      </c>
      <c r="E963" s="2" t="s">
        <v>1399</v>
      </c>
      <c r="F963" s="3">
        <v>21.97</v>
      </c>
    </row>
    <row r="964" spans="1:6" ht="15" customHeight="1" x14ac:dyDescent="0.25">
      <c r="A964" s="2" t="s">
        <v>80</v>
      </c>
      <c r="B964" s="2" t="s">
        <v>1393</v>
      </c>
      <c r="C964" s="2" t="s">
        <v>484</v>
      </c>
      <c r="D964" s="2" t="s">
        <v>145</v>
      </c>
      <c r="E964" s="2" t="s">
        <v>1400</v>
      </c>
      <c r="F964" s="3">
        <v>27.31</v>
      </c>
    </row>
    <row r="965" spans="1:6" ht="15" customHeight="1" x14ac:dyDescent="0.25">
      <c r="A965" s="2" t="s">
        <v>80</v>
      </c>
      <c r="B965" s="2" t="s">
        <v>1393</v>
      </c>
      <c r="C965" s="2" t="s">
        <v>484</v>
      </c>
      <c r="D965" s="2" t="s">
        <v>164</v>
      </c>
      <c r="E965" s="2" t="s">
        <v>1401</v>
      </c>
      <c r="F965" s="3">
        <v>4.32</v>
      </c>
    </row>
    <row r="966" spans="1:6" ht="15" customHeight="1" x14ac:dyDescent="0.25">
      <c r="A966" s="2" t="s">
        <v>80</v>
      </c>
      <c r="B966" s="2" t="s">
        <v>1402</v>
      </c>
      <c r="C966" s="2" t="s">
        <v>486</v>
      </c>
      <c r="D966" s="2" t="s">
        <v>154</v>
      </c>
      <c r="E966" s="2" t="s">
        <v>1403</v>
      </c>
      <c r="F966" s="3">
        <v>-0.15</v>
      </c>
    </row>
    <row r="967" spans="1:6" ht="15" customHeight="1" x14ac:dyDescent="0.25">
      <c r="A967" s="2" t="s">
        <v>80</v>
      </c>
      <c r="B967" s="2" t="s">
        <v>1402</v>
      </c>
      <c r="C967" s="2" t="s">
        <v>484</v>
      </c>
      <c r="D967" s="2" t="s">
        <v>154</v>
      </c>
      <c r="E967" s="2" t="s">
        <v>1404</v>
      </c>
      <c r="F967" s="3">
        <v>1.06</v>
      </c>
    </row>
    <row r="968" spans="1:6" ht="15" customHeight="1" x14ac:dyDescent="0.25">
      <c r="A968" s="2" t="s">
        <v>80</v>
      </c>
      <c r="B968" s="2" t="s">
        <v>1405</v>
      </c>
      <c r="C968" s="2" t="s">
        <v>486</v>
      </c>
      <c r="D968" s="2" t="s">
        <v>140</v>
      </c>
      <c r="E968" s="2" t="s">
        <v>1406</v>
      </c>
      <c r="F968" s="3">
        <v>-7.29</v>
      </c>
    </row>
    <row r="969" spans="1:6" ht="15" customHeight="1" x14ac:dyDescent="0.25">
      <c r="A969" s="2" t="s">
        <v>80</v>
      </c>
      <c r="B969" s="2" t="s">
        <v>1405</v>
      </c>
      <c r="C969" s="2" t="s">
        <v>484</v>
      </c>
      <c r="D969" s="2" t="s">
        <v>140</v>
      </c>
      <c r="E969" s="2" t="s">
        <v>1407</v>
      </c>
      <c r="F969" s="3">
        <v>48.65</v>
      </c>
    </row>
    <row r="970" spans="1:6" ht="15" customHeight="1" x14ac:dyDescent="0.25">
      <c r="A970" s="2" t="s">
        <v>80</v>
      </c>
      <c r="B970" s="2" t="s">
        <v>1405</v>
      </c>
      <c r="C970" s="2" t="s">
        <v>486</v>
      </c>
      <c r="D970" s="2" t="s">
        <v>225</v>
      </c>
      <c r="E970" s="2" t="s">
        <v>1408</v>
      </c>
      <c r="F970" s="3">
        <v>-0.41</v>
      </c>
    </row>
    <row r="971" spans="1:6" ht="15" customHeight="1" x14ac:dyDescent="0.25">
      <c r="A971" s="2" t="s">
        <v>80</v>
      </c>
      <c r="B971" s="2" t="s">
        <v>1405</v>
      </c>
      <c r="C971" s="2" t="s">
        <v>486</v>
      </c>
      <c r="D971" s="2" t="s">
        <v>164</v>
      </c>
      <c r="E971" s="2" t="s">
        <v>1409</v>
      </c>
      <c r="F971" s="3">
        <v>-0.63</v>
      </c>
    </row>
    <row r="972" spans="1:6" ht="15" customHeight="1" x14ac:dyDescent="0.25">
      <c r="A972" s="2" t="s">
        <v>80</v>
      </c>
      <c r="B972" s="2" t="s">
        <v>1405</v>
      </c>
      <c r="C972" s="2" t="s">
        <v>484</v>
      </c>
      <c r="D972" s="2" t="s">
        <v>225</v>
      </c>
      <c r="E972" s="2" t="s">
        <v>1410</v>
      </c>
      <c r="F972" s="3">
        <v>2.75</v>
      </c>
    </row>
    <row r="973" spans="1:6" ht="15" customHeight="1" x14ac:dyDescent="0.25">
      <c r="A973" s="2" t="s">
        <v>80</v>
      </c>
      <c r="B973" s="2" t="s">
        <v>1405</v>
      </c>
      <c r="C973" s="2" t="s">
        <v>484</v>
      </c>
      <c r="D973" s="2" t="s">
        <v>164</v>
      </c>
      <c r="E973" s="2" t="s">
        <v>1411</v>
      </c>
      <c r="F973" s="3">
        <v>4.22</v>
      </c>
    </row>
    <row r="974" spans="1:6" ht="15" customHeight="1" x14ac:dyDescent="0.25">
      <c r="A974" s="2" t="s">
        <v>80</v>
      </c>
      <c r="B974" s="2" t="s">
        <v>1412</v>
      </c>
      <c r="C974" s="2" t="s">
        <v>486</v>
      </c>
      <c r="D974" s="2" t="s">
        <v>235</v>
      </c>
      <c r="E974" s="2" t="s">
        <v>1413</v>
      </c>
      <c r="F974" s="3">
        <v>-0.21</v>
      </c>
    </row>
    <row r="975" spans="1:6" ht="15" customHeight="1" x14ac:dyDescent="0.25">
      <c r="A975" s="2" t="s">
        <v>80</v>
      </c>
      <c r="B975" s="2" t="s">
        <v>1412</v>
      </c>
      <c r="C975" s="2" t="s">
        <v>484</v>
      </c>
      <c r="D975" s="2" t="s">
        <v>235</v>
      </c>
      <c r="E975" s="2" t="s">
        <v>1414</v>
      </c>
      <c r="F975" s="3">
        <v>1.43</v>
      </c>
    </row>
    <row r="976" spans="1:6" ht="15" customHeight="1" x14ac:dyDescent="0.25">
      <c r="A976" s="2" t="s">
        <v>80</v>
      </c>
      <c r="B976" s="2" t="s">
        <v>1415</v>
      </c>
      <c r="C976" s="2" t="s">
        <v>486</v>
      </c>
      <c r="D976" s="2" t="s">
        <v>152</v>
      </c>
      <c r="E976" s="2" t="s">
        <v>1416</v>
      </c>
      <c r="F976" s="3">
        <v>-5.77</v>
      </c>
    </row>
    <row r="977" spans="1:6" ht="15" customHeight="1" x14ac:dyDescent="0.25">
      <c r="A977" s="2" t="s">
        <v>80</v>
      </c>
      <c r="B977" s="2" t="s">
        <v>1415</v>
      </c>
      <c r="C977" s="2" t="s">
        <v>484</v>
      </c>
      <c r="D977" s="2" t="s">
        <v>152</v>
      </c>
      <c r="E977" s="2" t="s">
        <v>1417</v>
      </c>
      <c r="F977" s="3">
        <v>38.5</v>
      </c>
    </row>
    <row r="978" spans="1:6" ht="15" customHeight="1" x14ac:dyDescent="0.25">
      <c r="A978" s="2" t="s">
        <v>80</v>
      </c>
      <c r="B978" s="2" t="s">
        <v>1415</v>
      </c>
      <c r="C978" s="2" t="s">
        <v>486</v>
      </c>
      <c r="D978" s="2" t="s">
        <v>220</v>
      </c>
      <c r="E978" s="2" t="s">
        <v>1418</v>
      </c>
      <c r="F978" s="3">
        <v>-0.03</v>
      </c>
    </row>
    <row r="979" spans="1:6" ht="15" customHeight="1" x14ac:dyDescent="0.25">
      <c r="A979" s="2" t="s">
        <v>80</v>
      </c>
      <c r="B979" s="2" t="s">
        <v>1415</v>
      </c>
      <c r="C979" s="2" t="s">
        <v>484</v>
      </c>
      <c r="D979" s="2" t="s">
        <v>220</v>
      </c>
      <c r="E979" s="2" t="s">
        <v>1419</v>
      </c>
      <c r="F979" s="3">
        <v>0.21</v>
      </c>
    </row>
    <row r="980" spans="1:6" ht="15" customHeight="1" x14ac:dyDescent="0.25">
      <c r="A980" s="2" t="s">
        <v>80</v>
      </c>
      <c r="B980" s="2" t="s">
        <v>1415</v>
      </c>
      <c r="C980" s="2" t="s">
        <v>486</v>
      </c>
      <c r="D980" s="2" t="s">
        <v>134</v>
      </c>
      <c r="E980" s="2" t="s">
        <v>1420</v>
      </c>
      <c r="F980" s="3">
        <v>-1.31</v>
      </c>
    </row>
    <row r="981" spans="1:6" ht="15" customHeight="1" x14ac:dyDescent="0.25">
      <c r="A981" s="2" t="s">
        <v>80</v>
      </c>
      <c r="B981" s="2" t="s">
        <v>1415</v>
      </c>
      <c r="C981" s="2" t="s">
        <v>486</v>
      </c>
      <c r="D981" s="2" t="s">
        <v>113</v>
      </c>
      <c r="E981" s="2" t="s">
        <v>1216</v>
      </c>
      <c r="F981" s="3">
        <v>-0.11</v>
      </c>
    </row>
    <row r="982" spans="1:6" ht="15" customHeight="1" x14ac:dyDescent="0.25">
      <c r="A982" s="2" t="s">
        <v>80</v>
      </c>
      <c r="B982" s="2" t="s">
        <v>1415</v>
      </c>
      <c r="C982" s="2" t="s">
        <v>486</v>
      </c>
      <c r="D982" s="2" t="s">
        <v>149</v>
      </c>
      <c r="E982" s="2" t="s">
        <v>1004</v>
      </c>
      <c r="F982" s="3">
        <v>-0.11</v>
      </c>
    </row>
    <row r="983" spans="1:6" ht="15" customHeight="1" x14ac:dyDescent="0.25">
      <c r="A983" s="2" t="s">
        <v>80</v>
      </c>
      <c r="B983" s="2" t="s">
        <v>1415</v>
      </c>
      <c r="C983" s="2" t="s">
        <v>486</v>
      </c>
      <c r="D983" s="2" t="s">
        <v>136</v>
      </c>
      <c r="E983" s="2" t="s">
        <v>961</v>
      </c>
      <c r="F983" s="3">
        <v>-0.85</v>
      </c>
    </row>
    <row r="984" spans="1:6" ht="15" customHeight="1" x14ac:dyDescent="0.25">
      <c r="A984" s="2" t="s">
        <v>80</v>
      </c>
      <c r="B984" s="2" t="s">
        <v>1415</v>
      </c>
      <c r="C984" s="2" t="s">
        <v>486</v>
      </c>
      <c r="D984" s="2" t="s">
        <v>164</v>
      </c>
      <c r="E984" s="2" t="s">
        <v>1421</v>
      </c>
      <c r="F984" s="3">
        <v>-0.4</v>
      </c>
    </row>
    <row r="985" spans="1:6" ht="15" customHeight="1" x14ac:dyDescent="0.25">
      <c r="A985" s="2" t="s">
        <v>80</v>
      </c>
      <c r="B985" s="2" t="s">
        <v>1415</v>
      </c>
      <c r="C985" s="2" t="s">
        <v>484</v>
      </c>
      <c r="D985" s="2" t="s">
        <v>134</v>
      </c>
      <c r="E985" s="2" t="s">
        <v>1422</v>
      </c>
      <c r="F985" s="3">
        <v>8.77</v>
      </c>
    </row>
    <row r="986" spans="1:6" ht="15" customHeight="1" x14ac:dyDescent="0.25">
      <c r="A986" s="2" t="s">
        <v>80</v>
      </c>
      <c r="B986" s="2" t="s">
        <v>1415</v>
      </c>
      <c r="C986" s="2" t="s">
        <v>484</v>
      </c>
      <c r="D986" s="2" t="s">
        <v>113</v>
      </c>
      <c r="E986" s="2" t="s">
        <v>1423</v>
      </c>
      <c r="F986" s="3">
        <v>0.79</v>
      </c>
    </row>
    <row r="987" spans="1:6" ht="15" customHeight="1" x14ac:dyDescent="0.25">
      <c r="A987" s="2" t="s">
        <v>80</v>
      </c>
      <c r="B987" s="2" t="s">
        <v>1415</v>
      </c>
      <c r="C987" s="2" t="s">
        <v>484</v>
      </c>
      <c r="D987" s="2" t="s">
        <v>149</v>
      </c>
      <c r="E987" s="2" t="s">
        <v>1424</v>
      </c>
      <c r="F987" s="3">
        <v>0.74</v>
      </c>
    </row>
    <row r="988" spans="1:6" ht="15" customHeight="1" x14ac:dyDescent="0.25">
      <c r="A988" s="2" t="s">
        <v>80</v>
      </c>
      <c r="B988" s="2" t="s">
        <v>1415</v>
      </c>
      <c r="C988" s="2" t="s">
        <v>484</v>
      </c>
      <c r="D988" s="2" t="s">
        <v>136</v>
      </c>
      <c r="E988" s="2" t="s">
        <v>1425</v>
      </c>
      <c r="F988" s="3">
        <v>5.72</v>
      </c>
    </row>
    <row r="989" spans="1:6" ht="15" customHeight="1" x14ac:dyDescent="0.25">
      <c r="A989" s="2" t="s">
        <v>80</v>
      </c>
      <c r="B989" s="2" t="s">
        <v>1415</v>
      </c>
      <c r="C989" s="2" t="s">
        <v>484</v>
      </c>
      <c r="D989" s="2" t="s">
        <v>164</v>
      </c>
      <c r="E989" s="2" t="s">
        <v>1426</v>
      </c>
      <c r="F989" s="3">
        <v>2.69</v>
      </c>
    </row>
    <row r="990" spans="1:6" ht="15" customHeight="1" x14ac:dyDescent="0.25">
      <c r="A990" s="2" t="s">
        <v>80</v>
      </c>
      <c r="B990" s="2" t="s">
        <v>1427</v>
      </c>
      <c r="C990" s="2" t="s">
        <v>486</v>
      </c>
      <c r="D990" s="2" t="s">
        <v>170</v>
      </c>
      <c r="E990" s="2" t="s">
        <v>529</v>
      </c>
      <c r="F990" s="3">
        <v>-0.45</v>
      </c>
    </row>
    <row r="991" spans="1:6" ht="15" customHeight="1" x14ac:dyDescent="0.25">
      <c r="A991" s="2" t="s">
        <v>80</v>
      </c>
      <c r="B991" s="2" t="s">
        <v>1427</v>
      </c>
      <c r="C991" s="2" t="s">
        <v>486</v>
      </c>
      <c r="D991" s="2" t="s">
        <v>213</v>
      </c>
      <c r="E991" s="2" t="s">
        <v>1428</v>
      </c>
      <c r="F991" s="3">
        <v>-0.33</v>
      </c>
    </row>
    <row r="992" spans="1:6" ht="15" customHeight="1" x14ac:dyDescent="0.25">
      <c r="A992" s="2" t="s">
        <v>80</v>
      </c>
      <c r="B992" s="2" t="s">
        <v>1427</v>
      </c>
      <c r="C992" s="2" t="s">
        <v>484</v>
      </c>
      <c r="D992" s="2" t="s">
        <v>170</v>
      </c>
      <c r="E992" s="2" t="s">
        <v>1429</v>
      </c>
      <c r="F992" s="3">
        <v>3.02</v>
      </c>
    </row>
    <row r="993" spans="1:6" ht="15" customHeight="1" x14ac:dyDescent="0.25">
      <c r="A993" s="2" t="s">
        <v>80</v>
      </c>
      <c r="B993" s="2" t="s">
        <v>1427</v>
      </c>
      <c r="C993" s="2" t="s">
        <v>484</v>
      </c>
      <c r="D993" s="2" t="s">
        <v>213</v>
      </c>
      <c r="E993" s="2" t="s">
        <v>1430</v>
      </c>
      <c r="F993" s="3">
        <v>2.2000000000000002</v>
      </c>
    </row>
    <row r="994" spans="1:6" ht="15" customHeight="1" x14ac:dyDescent="0.25">
      <c r="A994" s="2" t="s">
        <v>80</v>
      </c>
      <c r="B994" s="2" t="s">
        <v>412</v>
      </c>
      <c r="C994" s="2" t="s">
        <v>486</v>
      </c>
      <c r="D994" s="2" t="s">
        <v>204</v>
      </c>
      <c r="E994" s="2" t="s">
        <v>1352</v>
      </c>
      <c r="F994" s="3">
        <v>-0.35</v>
      </c>
    </row>
    <row r="995" spans="1:6" ht="15" customHeight="1" x14ac:dyDescent="0.25">
      <c r="A995" s="2" t="s">
        <v>80</v>
      </c>
      <c r="B995" s="2" t="s">
        <v>412</v>
      </c>
      <c r="C995" s="2" t="s">
        <v>484</v>
      </c>
      <c r="D995" s="2" t="s">
        <v>204</v>
      </c>
      <c r="E995" s="2" t="s">
        <v>1431</v>
      </c>
      <c r="F995" s="3">
        <v>2.38</v>
      </c>
    </row>
    <row r="996" spans="1:6" ht="15" customHeight="1" x14ac:dyDescent="0.25">
      <c r="A996" s="2" t="s">
        <v>80</v>
      </c>
      <c r="B996" s="2" t="s">
        <v>412</v>
      </c>
      <c r="C996" s="2" t="s">
        <v>484</v>
      </c>
      <c r="D996" s="2" t="s">
        <v>121</v>
      </c>
      <c r="E996" s="2" t="s">
        <v>1432</v>
      </c>
      <c r="F996" s="3">
        <v>24.38</v>
      </c>
    </row>
    <row r="997" spans="1:6" ht="15" customHeight="1" x14ac:dyDescent="0.25">
      <c r="A997" s="2" t="s">
        <v>80</v>
      </c>
      <c r="B997" s="2" t="s">
        <v>412</v>
      </c>
      <c r="C997" s="2" t="s">
        <v>486</v>
      </c>
      <c r="D997" s="2" t="s">
        <v>121</v>
      </c>
      <c r="E997" s="2" t="s">
        <v>1433</v>
      </c>
      <c r="F997" s="3">
        <v>-3.65</v>
      </c>
    </row>
    <row r="998" spans="1:6" ht="15" customHeight="1" x14ac:dyDescent="0.25">
      <c r="A998" s="2" t="s">
        <v>80</v>
      </c>
      <c r="B998" s="2" t="s">
        <v>412</v>
      </c>
      <c r="C998" s="2" t="s">
        <v>486</v>
      </c>
      <c r="D998" s="2" t="s">
        <v>190</v>
      </c>
      <c r="E998" s="2" t="s">
        <v>1351</v>
      </c>
      <c r="F998" s="3">
        <v>-0.41</v>
      </c>
    </row>
    <row r="999" spans="1:6" ht="15" customHeight="1" x14ac:dyDescent="0.25">
      <c r="A999" s="2" t="s">
        <v>80</v>
      </c>
      <c r="B999" s="2" t="s">
        <v>412</v>
      </c>
      <c r="C999" s="2" t="s">
        <v>484</v>
      </c>
      <c r="D999" s="2" t="s">
        <v>190</v>
      </c>
      <c r="E999" s="2" t="s">
        <v>1434</v>
      </c>
      <c r="F999" s="3">
        <v>2.79</v>
      </c>
    </row>
    <row r="1000" spans="1:6" ht="15" customHeight="1" x14ac:dyDescent="0.25">
      <c r="A1000" s="2" t="s">
        <v>82</v>
      </c>
      <c r="B1000" s="2" t="s">
        <v>413</v>
      </c>
      <c r="C1000" s="2" t="s">
        <v>486</v>
      </c>
      <c r="D1000" s="2" t="s">
        <v>173</v>
      </c>
      <c r="E1000" s="2" t="s">
        <v>833</v>
      </c>
      <c r="F1000" s="3">
        <v>-0.24</v>
      </c>
    </row>
    <row r="1001" spans="1:6" ht="15" customHeight="1" x14ac:dyDescent="0.25">
      <c r="A1001" s="2" t="s">
        <v>82</v>
      </c>
      <c r="B1001" s="2" t="s">
        <v>413</v>
      </c>
      <c r="C1001" s="2" t="s">
        <v>484</v>
      </c>
      <c r="D1001" s="2" t="s">
        <v>173</v>
      </c>
      <c r="E1001" s="2" t="s">
        <v>1435</v>
      </c>
      <c r="F1001" s="3">
        <v>1.61</v>
      </c>
    </row>
    <row r="1002" spans="1:6" ht="15" customHeight="1" x14ac:dyDescent="0.25">
      <c r="A1002" s="2" t="s">
        <v>82</v>
      </c>
      <c r="B1002" s="2" t="s">
        <v>414</v>
      </c>
      <c r="C1002" s="2" t="s">
        <v>486</v>
      </c>
      <c r="D1002" s="2" t="s">
        <v>218</v>
      </c>
      <c r="E1002" s="2" t="s">
        <v>1436</v>
      </c>
      <c r="F1002" s="3">
        <v>-0.41</v>
      </c>
    </row>
    <row r="1003" spans="1:6" ht="15" customHeight="1" x14ac:dyDescent="0.25">
      <c r="A1003" s="2" t="s">
        <v>82</v>
      </c>
      <c r="B1003" s="2" t="s">
        <v>414</v>
      </c>
      <c r="C1003" s="2" t="s">
        <v>484</v>
      </c>
      <c r="D1003" s="2" t="s">
        <v>218</v>
      </c>
      <c r="E1003" s="2" t="s">
        <v>1437</v>
      </c>
      <c r="F1003" s="3">
        <v>2.78</v>
      </c>
    </row>
    <row r="1004" spans="1:6" ht="15" customHeight="1" x14ac:dyDescent="0.25">
      <c r="A1004" s="2" t="s">
        <v>82</v>
      </c>
      <c r="B1004" s="2" t="s">
        <v>414</v>
      </c>
      <c r="C1004" s="2" t="s">
        <v>484</v>
      </c>
      <c r="D1004" s="2" t="s">
        <v>129</v>
      </c>
      <c r="E1004" s="2" t="s">
        <v>1438</v>
      </c>
      <c r="F1004" s="3">
        <v>14.86</v>
      </c>
    </row>
    <row r="1005" spans="1:6" ht="15" customHeight="1" x14ac:dyDescent="0.25">
      <c r="A1005" s="2" t="s">
        <v>82</v>
      </c>
      <c r="B1005" s="2" t="s">
        <v>414</v>
      </c>
      <c r="C1005" s="2" t="s">
        <v>486</v>
      </c>
      <c r="D1005" s="2" t="s">
        <v>129</v>
      </c>
      <c r="E1005" s="2" t="s">
        <v>1439</v>
      </c>
      <c r="F1005" s="3">
        <v>-2.2200000000000002</v>
      </c>
    </row>
    <row r="1006" spans="1:6" ht="15" customHeight="1" x14ac:dyDescent="0.25">
      <c r="A1006" s="2" t="s">
        <v>82</v>
      </c>
      <c r="B1006" s="2" t="s">
        <v>414</v>
      </c>
      <c r="C1006" s="2" t="s">
        <v>486</v>
      </c>
      <c r="D1006" s="2" t="s">
        <v>132</v>
      </c>
      <c r="E1006" s="2" t="s">
        <v>1440</v>
      </c>
      <c r="F1006" s="3">
        <v>-6.76</v>
      </c>
    </row>
    <row r="1007" spans="1:6" ht="15" customHeight="1" x14ac:dyDescent="0.25">
      <c r="A1007" s="2" t="s">
        <v>82</v>
      </c>
      <c r="B1007" s="2" t="s">
        <v>414</v>
      </c>
      <c r="C1007" s="2" t="s">
        <v>486</v>
      </c>
      <c r="D1007" s="2" t="s">
        <v>164</v>
      </c>
      <c r="E1007" s="2" t="s">
        <v>1441</v>
      </c>
      <c r="F1007" s="3">
        <v>-0.68</v>
      </c>
    </row>
    <row r="1008" spans="1:6" ht="15" customHeight="1" x14ac:dyDescent="0.25">
      <c r="A1008" s="2" t="s">
        <v>82</v>
      </c>
      <c r="B1008" s="2" t="s">
        <v>414</v>
      </c>
      <c r="C1008" s="2" t="s">
        <v>484</v>
      </c>
      <c r="D1008" s="2" t="s">
        <v>132</v>
      </c>
      <c r="E1008" s="2" t="s">
        <v>1442</v>
      </c>
      <c r="F1008" s="3">
        <v>45.08</v>
      </c>
    </row>
    <row r="1009" spans="1:6" ht="15" customHeight="1" x14ac:dyDescent="0.25">
      <c r="A1009" s="2" t="s">
        <v>82</v>
      </c>
      <c r="B1009" s="2" t="s">
        <v>414</v>
      </c>
      <c r="C1009" s="2" t="s">
        <v>484</v>
      </c>
      <c r="D1009" s="2" t="s">
        <v>164</v>
      </c>
      <c r="E1009" s="2" t="s">
        <v>1443</v>
      </c>
      <c r="F1009" s="3">
        <v>4.58</v>
      </c>
    </row>
    <row r="1010" spans="1:6" ht="15" customHeight="1" x14ac:dyDescent="0.25">
      <c r="A1010" s="2" t="s">
        <v>82</v>
      </c>
      <c r="B1010" s="2" t="s">
        <v>1444</v>
      </c>
      <c r="C1010" s="2" t="s">
        <v>486</v>
      </c>
      <c r="D1010" s="2" t="s">
        <v>166</v>
      </c>
      <c r="E1010" s="2" t="s">
        <v>1445</v>
      </c>
      <c r="F1010" s="3">
        <v>-0.38</v>
      </c>
    </row>
    <row r="1011" spans="1:6" ht="15" customHeight="1" x14ac:dyDescent="0.25">
      <c r="A1011" s="2" t="s">
        <v>82</v>
      </c>
      <c r="B1011" s="2" t="s">
        <v>1444</v>
      </c>
      <c r="C1011" s="2" t="s">
        <v>486</v>
      </c>
      <c r="D1011" s="2" t="s">
        <v>127</v>
      </c>
      <c r="E1011" s="2" t="s">
        <v>1446</v>
      </c>
      <c r="F1011" s="3">
        <v>-1.97</v>
      </c>
    </row>
    <row r="1012" spans="1:6" ht="15" customHeight="1" x14ac:dyDescent="0.25">
      <c r="A1012" s="2" t="s">
        <v>82</v>
      </c>
      <c r="B1012" s="2" t="s">
        <v>1444</v>
      </c>
      <c r="C1012" s="2" t="s">
        <v>486</v>
      </c>
      <c r="D1012" s="2" t="s">
        <v>115</v>
      </c>
      <c r="E1012" s="2" t="s">
        <v>1447</v>
      </c>
      <c r="F1012" s="3">
        <v>-3.22</v>
      </c>
    </row>
    <row r="1013" spans="1:6" ht="15" customHeight="1" x14ac:dyDescent="0.25">
      <c r="A1013" s="2" t="s">
        <v>82</v>
      </c>
      <c r="B1013" s="2" t="s">
        <v>1444</v>
      </c>
      <c r="C1013" s="2" t="s">
        <v>486</v>
      </c>
      <c r="D1013" s="2" t="s">
        <v>162</v>
      </c>
      <c r="E1013" s="2" t="s">
        <v>1448</v>
      </c>
      <c r="F1013" s="3">
        <v>-0.9</v>
      </c>
    </row>
    <row r="1014" spans="1:6" ht="15" customHeight="1" x14ac:dyDescent="0.25">
      <c r="A1014" s="2" t="s">
        <v>82</v>
      </c>
      <c r="B1014" s="2" t="s">
        <v>1444</v>
      </c>
      <c r="C1014" s="2" t="s">
        <v>486</v>
      </c>
      <c r="D1014" s="2" t="s">
        <v>119</v>
      </c>
      <c r="E1014" s="2" t="s">
        <v>1449</v>
      </c>
      <c r="F1014" s="3">
        <v>-2.37</v>
      </c>
    </row>
    <row r="1015" spans="1:6" ht="15" customHeight="1" x14ac:dyDescent="0.25">
      <c r="A1015" s="2" t="s">
        <v>82</v>
      </c>
      <c r="B1015" s="2" t="s">
        <v>1444</v>
      </c>
      <c r="C1015" s="2" t="s">
        <v>484</v>
      </c>
      <c r="D1015" s="2" t="s">
        <v>166</v>
      </c>
      <c r="E1015" s="2" t="s">
        <v>1450</v>
      </c>
      <c r="F1015" s="3">
        <v>2.54</v>
      </c>
    </row>
    <row r="1016" spans="1:6" ht="15" customHeight="1" x14ac:dyDescent="0.25">
      <c r="A1016" s="2" t="s">
        <v>82</v>
      </c>
      <c r="B1016" s="2" t="s">
        <v>1444</v>
      </c>
      <c r="C1016" s="2" t="s">
        <v>484</v>
      </c>
      <c r="D1016" s="2" t="s">
        <v>127</v>
      </c>
      <c r="E1016" s="2" t="s">
        <v>1451</v>
      </c>
      <c r="F1016" s="3">
        <v>13.16</v>
      </c>
    </row>
    <row r="1017" spans="1:6" ht="15" customHeight="1" x14ac:dyDescent="0.25">
      <c r="A1017" s="2" t="s">
        <v>82</v>
      </c>
      <c r="B1017" s="2" t="s">
        <v>1444</v>
      </c>
      <c r="C1017" s="2" t="s">
        <v>484</v>
      </c>
      <c r="D1017" s="2" t="s">
        <v>115</v>
      </c>
      <c r="E1017" s="2" t="s">
        <v>1452</v>
      </c>
      <c r="F1017" s="3">
        <v>21.49</v>
      </c>
    </row>
    <row r="1018" spans="1:6" ht="15" customHeight="1" x14ac:dyDescent="0.25">
      <c r="A1018" s="2" t="s">
        <v>82</v>
      </c>
      <c r="B1018" s="2" t="s">
        <v>1444</v>
      </c>
      <c r="C1018" s="2" t="s">
        <v>484</v>
      </c>
      <c r="D1018" s="2" t="s">
        <v>162</v>
      </c>
      <c r="E1018" s="2" t="s">
        <v>1453</v>
      </c>
      <c r="F1018" s="3">
        <v>6.05</v>
      </c>
    </row>
    <row r="1019" spans="1:6" ht="15" customHeight="1" x14ac:dyDescent="0.25">
      <c r="A1019" s="2" t="s">
        <v>82</v>
      </c>
      <c r="B1019" s="2" t="s">
        <v>1444</v>
      </c>
      <c r="C1019" s="2" t="s">
        <v>484</v>
      </c>
      <c r="D1019" s="2" t="s">
        <v>119</v>
      </c>
      <c r="E1019" s="2" t="s">
        <v>1454</v>
      </c>
      <c r="F1019" s="3">
        <v>15.8</v>
      </c>
    </row>
    <row r="1020" spans="1:6" ht="15" customHeight="1" x14ac:dyDescent="0.25">
      <c r="A1020" s="2" t="s">
        <v>82</v>
      </c>
      <c r="B1020" s="2" t="s">
        <v>415</v>
      </c>
      <c r="C1020" s="2" t="s">
        <v>486</v>
      </c>
      <c r="D1020" s="2" t="s">
        <v>143</v>
      </c>
      <c r="E1020" s="2" t="s">
        <v>1455</v>
      </c>
      <c r="F1020" s="3">
        <v>-1.82</v>
      </c>
    </row>
    <row r="1021" spans="1:6" ht="15" customHeight="1" x14ac:dyDescent="0.25">
      <c r="A1021" s="2" t="s">
        <v>82</v>
      </c>
      <c r="B1021" s="2" t="s">
        <v>415</v>
      </c>
      <c r="C1021" s="2" t="s">
        <v>486</v>
      </c>
      <c r="D1021" s="2" t="s">
        <v>185</v>
      </c>
      <c r="E1021" s="2" t="s">
        <v>1456</v>
      </c>
      <c r="F1021" s="3">
        <v>-0.14000000000000001</v>
      </c>
    </row>
    <row r="1022" spans="1:6" ht="15" customHeight="1" x14ac:dyDescent="0.25">
      <c r="A1022" s="2" t="s">
        <v>82</v>
      </c>
      <c r="B1022" s="2" t="s">
        <v>415</v>
      </c>
      <c r="C1022" s="2" t="s">
        <v>484</v>
      </c>
      <c r="D1022" s="2" t="s">
        <v>143</v>
      </c>
      <c r="E1022" s="2" t="s">
        <v>1457</v>
      </c>
      <c r="F1022" s="3">
        <v>12.16</v>
      </c>
    </row>
    <row r="1023" spans="1:6" ht="15" customHeight="1" x14ac:dyDescent="0.25">
      <c r="A1023" s="2" t="s">
        <v>82</v>
      </c>
      <c r="B1023" s="2" t="s">
        <v>415</v>
      </c>
      <c r="C1023" s="2" t="s">
        <v>484</v>
      </c>
      <c r="D1023" s="2" t="s">
        <v>185</v>
      </c>
      <c r="E1023" s="2" t="s">
        <v>1458</v>
      </c>
      <c r="F1023" s="3">
        <v>0.95</v>
      </c>
    </row>
    <row r="1024" spans="1:6" ht="15" customHeight="1" x14ac:dyDescent="0.25">
      <c r="A1024" s="2" t="s">
        <v>82</v>
      </c>
      <c r="B1024" s="2" t="s">
        <v>416</v>
      </c>
      <c r="C1024" s="2" t="s">
        <v>486</v>
      </c>
      <c r="D1024" s="2" t="s">
        <v>183</v>
      </c>
      <c r="E1024" s="2" t="s">
        <v>1459</v>
      </c>
      <c r="F1024" s="3">
        <v>-0.37</v>
      </c>
    </row>
    <row r="1025" spans="1:6" ht="15" customHeight="1" x14ac:dyDescent="0.25">
      <c r="A1025" s="2" t="s">
        <v>82</v>
      </c>
      <c r="B1025" s="2" t="s">
        <v>416</v>
      </c>
      <c r="C1025" s="2" t="s">
        <v>484</v>
      </c>
      <c r="D1025" s="2" t="s">
        <v>183</v>
      </c>
      <c r="E1025" s="2" t="s">
        <v>1460</v>
      </c>
      <c r="F1025" s="3">
        <v>2.4900000000000002</v>
      </c>
    </row>
    <row r="1026" spans="1:6" ht="15" customHeight="1" x14ac:dyDescent="0.25">
      <c r="A1026" s="2" t="s">
        <v>82</v>
      </c>
      <c r="B1026" s="2" t="s">
        <v>1461</v>
      </c>
      <c r="C1026" s="2" t="s">
        <v>484</v>
      </c>
      <c r="D1026" s="2" t="s">
        <v>177</v>
      </c>
      <c r="E1026" s="2" t="s">
        <v>1462</v>
      </c>
      <c r="F1026" s="3">
        <v>0.69</v>
      </c>
    </row>
    <row r="1027" spans="1:6" ht="15" customHeight="1" x14ac:dyDescent="0.25">
      <c r="A1027" s="2" t="s">
        <v>82</v>
      </c>
      <c r="B1027" s="2" t="s">
        <v>417</v>
      </c>
      <c r="C1027" s="2" t="s">
        <v>486</v>
      </c>
      <c r="D1027" s="2" t="s">
        <v>158</v>
      </c>
      <c r="E1027" s="2" t="s">
        <v>1463</v>
      </c>
      <c r="F1027" s="3">
        <v>-0.74</v>
      </c>
    </row>
    <row r="1028" spans="1:6" ht="15" customHeight="1" x14ac:dyDescent="0.25">
      <c r="A1028" s="2" t="s">
        <v>82</v>
      </c>
      <c r="B1028" s="2" t="s">
        <v>417</v>
      </c>
      <c r="C1028" s="2" t="s">
        <v>486</v>
      </c>
      <c r="D1028" s="2" t="s">
        <v>145</v>
      </c>
      <c r="E1028" s="2" t="s">
        <v>1464</v>
      </c>
      <c r="F1028" s="3">
        <v>-5.0599999999999996</v>
      </c>
    </row>
    <row r="1029" spans="1:6" ht="15" customHeight="1" x14ac:dyDescent="0.25">
      <c r="A1029" s="2" t="s">
        <v>82</v>
      </c>
      <c r="B1029" s="2" t="s">
        <v>417</v>
      </c>
      <c r="C1029" s="2" t="s">
        <v>486</v>
      </c>
      <c r="D1029" s="2" t="s">
        <v>194</v>
      </c>
      <c r="E1029" s="2" t="s">
        <v>1465</v>
      </c>
      <c r="F1029" s="3">
        <v>-4.43</v>
      </c>
    </row>
    <row r="1030" spans="1:6" ht="15" customHeight="1" x14ac:dyDescent="0.25">
      <c r="A1030" s="2" t="s">
        <v>82</v>
      </c>
      <c r="B1030" s="2" t="s">
        <v>417</v>
      </c>
      <c r="C1030" s="2" t="s">
        <v>486</v>
      </c>
      <c r="D1030" s="2" t="s">
        <v>196</v>
      </c>
      <c r="E1030" s="2" t="s">
        <v>1325</v>
      </c>
      <c r="F1030" s="3">
        <v>-0.46</v>
      </c>
    </row>
    <row r="1031" spans="1:6" ht="15" customHeight="1" x14ac:dyDescent="0.25">
      <c r="A1031" s="2" t="s">
        <v>82</v>
      </c>
      <c r="B1031" s="2" t="s">
        <v>417</v>
      </c>
      <c r="C1031" s="2" t="s">
        <v>486</v>
      </c>
      <c r="D1031" s="2" t="s">
        <v>164</v>
      </c>
      <c r="E1031" s="2" t="s">
        <v>667</v>
      </c>
      <c r="F1031" s="3">
        <v>-0.72</v>
      </c>
    </row>
    <row r="1032" spans="1:6" ht="15" customHeight="1" x14ac:dyDescent="0.25">
      <c r="A1032" s="2" t="s">
        <v>82</v>
      </c>
      <c r="B1032" s="2" t="s">
        <v>417</v>
      </c>
      <c r="C1032" s="2" t="s">
        <v>484</v>
      </c>
      <c r="D1032" s="2" t="s">
        <v>158</v>
      </c>
      <c r="E1032" s="2" t="s">
        <v>1466</v>
      </c>
      <c r="F1032" s="3">
        <v>4.9400000000000004</v>
      </c>
    </row>
    <row r="1033" spans="1:6" ht="15" customHeight="1" x14ac:dyDescent="0.25">
      <c r="A1033" s="2" t="s">
        <v>82</v>
      </c>
      <c r="B1033" s="2" t="s">
        <v>417</v>
      </c>
      <c r="C1033" s="2" t="s">
        <v>484</v>
      </c>
      <c r="D1033" s="2" t="s">
        <v>145</v>
      </c>
      <c r="E1033" s="2" t="s">
        <v>1467</v>
      </c>
      <c r="F1033" s="3">
        <v>33.79</v>
      </c>
    </row>
    <row r="1034" spans="1:6" ht="15" customHeight="1" x14ac:dyDescent="0.25">
      <c r="A1034" s="2" t="s">
        <v>82</v>
      </c>
      <c r="B1034" s="2" t="s">
        <v>417</v>
      </c>
      <c r="C1034" s="2" t="s">
        <v>484</v>
      </c>
      <c r="D1034" s="2" t="s">
        <v>194</v>
      </c>
      <c r="E1034" s="2" t="s">
        <v>1468</v>
      </c>
      <c r="F1034" s="3">
        <v>29.56</v>
      </c>
    </row>
    <row r="1035" spans="1:6" ht="15" customHeight="1" x14ac:dyDescent="0.25">
      <c r="A1035" s="2" t="s">
        <v>82</v>
      </c>
      <c r="B1035" s="2" t="s">
        <v>417</v>
      </c>
      <c r="C1035" s="2" t="s">
        <v>484</v>
      </c>
      <c r="D1035" s="2" t="s">
        <v>196</v>
      </c>
      <c r="E1035" s="2" t="s">
        <v>1469</v>
      </c>
      <c r="F1035" s="3">
        <v>3.1</v>
      </c>
    </row>
    <row r="1036" spans="1:6" ht="15" customHeight="1" x14ac:dyDescent="0.25">
      <c r="A1036" s="2" t="s">
        <v>82</v>
      </c>
      <c r="B1036" s="2" t="s">
        <v>417</v>
      </c>
      <c r="C1036" s="2" t="s">
        <v>484</v>
      </c>
      <c r="D1036" s="2" t="s">
        <v>164</v>
      </c>
      <c r="E1036" s="2" t="s">
        <v>1470</v>
      </c>
      <c r="F1036" s="3">
        <v>4.8099999999999996</v>
      </c>
    </row>
    <row r="1037" spans="1:6" ht="15" customHeight="1" x14ac:dyDescent="0.25">
      <c r="A1037" s="2" t="s">
        <v>82</v>
      </c>
      <c r="B1037" s="2" t="s">
        <v>1471</v>
      </c>
      <c r="C1037" s="2" t="s">
        <v>486</v>
      </c>
      <c r="D1037" s="2" t="s">
        <v>154</v>
      </c>
      <c r="E1037" s="2" t="s">
        <v>1472</v>
      </c>
      <c r="F1037" s="3">
        <v>-0.16</v>
      </c>
    </row>
    <row r="1038" spans="1:6" ht="15" customHeight="1" x14ac:dyDescent="0.25">
      <c r="A1038" s="2" t="s">
        <v>82</v>
      </c>
      <c r="B1038" s="2" t="s">
        <v>1471</v>
      </c>
      <c r="C1038" s="2" t="s">
        <v>484</v>
      </c>
      <c r="D1038" s="2" t="s">
        <v>154</v>
      </c>
      <c r="E1038" s="2" t="s">
        <v>1473</v>
      </c>
      <c r="F1038" s="3">
        <v>1.07</v>
      </c>
    </row>
    <row r="1039" spans="1:6" ht="15" customHeight="1" x14ac:dyDescent="0.25">
      <c r="A1039" s="2" t="s">
        <v>82</v>
      </c>
      <c r="B1039" s="2" t="s">
        <v>418</v>
      </c>
      <c r="C1039" s="2" t="s">
        <v>486</v>
      </c>
      <c r="D1039" s="2" t="s">
        <v>215</v>
      </c>
      <c r="E1039" s="2" t="s">
        <v>1389</v>
      </c>
      <c r="F1039" s="3">
        <v>-1.57</v>
      </c>
    </row>
    <row r="1040" spans="1:6" ht="15" customHeight="1" x14ac:dyDescent="0.25">
      <c r="A1040" s="2" t="s">
        <v>82</v>
      </c>
      <c r="B1040" s="2" t="s">
        <v>418</v>
      </c>
      <c r="C1040" s="2" t="s">
        <v>486</v>
      </c>
      <c r="D1040" s="2" t="s">
        <v>179</v>
      </c>
      <c r="E1040" s="2" t="s">
        <v>1474</v>
      </c>
      <c r="F1040" s="3">
        <v>-3.12</v>
      </c>
    </row>
    <row r="1041" spans="1:6" ht="15" customHeight="1" x14ac:dyDescent="0.25">
      <c r="A1041" s="2" t="s">
        <v>82</v>
      </c>
      <c r="B1041" s="2" t="s">
        <v>418</v>
      </c>
      <c r="C1041" s="2" t="s">
        <v>486</v>
      </c>
      <c r="D1041" s="2" t="s">
        <v>164</v>
      </c>
      <c r="E1041" s="2" t="s">
        <v>1475</v>
      </c>
      <c r="F1041" s="3">
        <v>-0.85</v>
      </c>
    </row>
    <row r="1042" spans="1:6" ht="15" customHeight="1" x14ac:dyDescent="0.25">
      <c r="A1042" s="2" t="s">
        <v>82</v>
      </c>
      <c r="B1042" s="2" t="s">
        <v>418</v>
      </c>
      <c r="C1042" s="2" t="s">
        <v>484</v>
      </c>
      <c r="D1042" s="2" t="s">
        <v>215</v>
      </c>
      <c r="E1042" s="2" t="s">
        <v>1476</v>
      </c>
      <c r="F1042" s="3">
        <v>10.5</v>
      </c>
    </row>
    <row r="1043" spans="1:6" ht="15" customHeight="1" x14ac:dyDescent="0.25">
      <c r="A1043" s="2" t="s">
        <v>82</v>
      </c>
      <c r="B1043" s="2" t="s">
        <v>418</v>
      </c>
      <c r="C1043" s="2" t="s">
        <v>484</v>
      </c>
      <c r="D1043" s="2" t="s">
        <v>179</v>
      </c>
      <c r="E1043" s="2" t="s">
        <v>1477</v>
      </c>
      <c r="F1043" s="3">
        <v>20.8</v>
      </c>
    </row>
    <row r="1044" spans="1:6" ht="15" customHeight="1" x14ac:dyDescent="0.25">
      <c r="A1044" s="2" t="s">
        <v>82</v>
      </c>
      <c r="B1044" s="2" t="s">
        <v>418</v>
      </c>
      <c r="C1044" s="2" t="s">
        <v>484</v>
      </c>
      <c r="D1044" s="2" t="s">
        <v>164</v>
      </c>
      <c r="E1044" s="2" t="s">
        <v>1478</v>
      </c>
      <c r="F1044" s="3">
        <v>5.7</v>
      </c>
    </row>
    <row r="1045" spans="1:6" ht="15" customHeight="1" x14ac:dyDescent="0.25">
      <c r="A1045" s="2" t="s">
        <v>82</v>
      </c>
      <c r="B1045" s="2" t="s">
        <v>1479</v>
      </c>
      <c r="C1045" s="2" t="s">
        <v>486</v>
      </c>
      <c r="D1045" s="2" t="s">
        <v>158</v>
      </c>
      <c r="E1045" s="2" t="s">
        <v>1480</v>
      </c>
      <c r="F1045" s="3">
        <v>-0.25</v>
      </c>
    </row>
    <row r="1046" spans="1:6" ht="15" customHeight="1" x14ac:dyDescent="0.25">
      <c r="A1046" s="2" t="s">
        <v>82</v>
      </c>
      <c r="B1046" s="2" t="s">
        <v>1479</v>
      </c>
      <c r="C1046" s="2" t="s">
        <v>486</v>
      </c>
      <c r="D1046" s="2" t="s">
        <v>132</v>
      </c>
      <c r="E1046" s="2" t="s">
        <v>1481</v>
      </c>
      <c r="F1046" s="3">
        <v>-1.69</v>
      </c>
    </row>
    <row r="1047" spans="1:6" ht="15" customHeight="1" x14ac:dyDescent="0.25">
      <c r="A1047" s="2" t="s">
        <v>82</v>
      </c>
      <c r="B1047" s="2" t="s">
        <v>1479</v>
      </c>
      <c r="C1047" s="2" t="s">
        <v>486</v>
      </c>
      <c r="D1047" s="2" t="s">
        <v>216</v>
      </c>
      <c r="E1047" s="2" t="s">
        <v>1482</v>
      </c>
      <c r="F1047" s="3">
        <v>-0.02</v>
      </c>
    </row>
    <row r="1048" spans="1:6" ht="15" customHeight="1" x14ac:dyDescent="0.25">
      <c r="A1048" s="2" t="s">
        <v>82</v>
      </c>
      <c r="B1048" s="2" t="s">
        <v>1479</v>
      </c>
      <c r="C1048" s="2" t="s">
        <v>486</v>
      </c>
      <c r="D1048" s="2" t="s">
        <v>145</v>
      </c>
      <c r="E1048" s="2" t="s">
        <v>1483</v>
      </c>
      <c r="F1048" s="3">
        <v>-0.75</v>
      </c>
    </row>
    <row r="1049" spans="1:6" ht="15" customHeight="1" x14ac:dyDescent="0.25">
      <c r="A1049" s="2" t="s">
        <v>82</v>
      </c>
      <c r="B1049" s="2" t="s">
        <v>1479</v>
      </c>
      <c r="C1049" s="2" t="s">
        <v>486</v>
      </c>
      <c r="D1049" s="2" t="s">
        <v>152</v>
      </c>
      <c r="E1049" s="2" t="s">
        <v>1484</v>
      </c>
      <c r="F1049" s="3">
        <v>-3.47</v>
      </c>
    </row>
    <row r="1050" spans="1:6" ht="15" customHeight="1" x14ac:dyDescent="0.25">
      <c r="A1050" s="2" t="s">
        <v>82</v>
      </c>
      <c r="B1050" s="2" t="s">
        <v>1479</v>
      </c>
      <c r="C1050" s="2" t="s">
        <v>486</v>
      </c>
      <c r="D1050" s="2" t="s">
        <v>194</v>
      </c>
      <c r="E1050" s="2" t="s">
        <v>1485</v>
      </c>
      <c r="F1050" s="3">
        <v>-1.1100000000000001</v>
      </c>
    </row>
    <row r="1051" spans="1:6" ht="15" customHeight="1" x14ac:dyDescent="0.25">
      <c r="A1051" s="2" t="s">
        <v>82</v>
      </c>
      <c r="B1051" s="2" t="s">
        <v>1479</v>
      </c>
      <c r="C1051" s="2" t="s">
        <v>486</v>
      </c>
      <c r="D1051" s="2" t="s">
        <v>140</v>
      </c>
      <c r="E1051" s="2" t="s">
        <v>1486</v>
      </c>
      <c r="F1051" s="3">
        <v>-5.58</v>
      </c>
    </row>
    <row r="1052" spans="1:6" ht="15" customHeight="1" x14ac:dyDescent="0.25">
      <c r="A1052" s="2" t="s">
        <v>82</v>
      </c>
      <c r="B1052" s="2" t="s">
        <v>1479</v>
      </c>
      <c r="C1052" s="2" t="s">
        <v>484</v>
      </c>
      <c r="D1052" s="2" t="s">
        <v>158</v>
      </c>
      <c r="E1052" s="2" t="s">
        <v>1487</v>
      </c>
      <c r="F1052" s="3">
        <v>1.73</v>
      </c>
    </row>
    <row r="1053" spans="1:6" ht="15" customHeight="1" x14ac:dyDescent="0.25">
      <c r="A1053" s="2" t="s">
        <v>82</v>
      </c>
      <c r="B1053" s="2" t="s">
        <v>1479</v>
      </c>
      <c r="C1053" s="2" t="s">
        <v>484</v>
      </c>
      <c r="D1053" s="2" t="s">
        <v>132</v>
      </c>
      <c r="E1053" s="2" t="s">
        <v>1488</v>
      </c>
      <c r="F1053" s="3">
        <v>11.28</v>
      </c>
    </row>
    <row r="1054" spans="1:6" ht="15" customHeight="1" x14ac:dyDescent="0.25">
      <c r="A1054" s="2" t="s">
        <v>82</v>
      </c>
      <c r="B1054" s="2" t="s">
        <v>1479</v>
      </c>
      <c r="C1054" s="2" t="s">
        <v>484</v>
      </c>
      <c r="D1054" s="2" t="s">
        <v>216</v>
      </c>
      <c r="E1054" s="2" t="s">
        <v>1489</v>
      </c>
      <c r="F1054" s="3">
        <v>0.18</v>
      </c>
    </row>
    <row r="1055" spans="1:6" ht="15" customHeight="1" x14ac:dyDescent="0.25">
      <c r="A1055" s="2" t="s">
        <v>82</v>
      </c>
      <c r="B1055" s="2" t="s">
        <v>1479</v>
      </c>
      <c r="C1055" s="2" t="s">
        <v>484</v>
      </c>
      <c r="D1055" s="2" t="s">
        <v>145</v>
      </c>
      <c r="E1055" s="2" t="s">
        <v>1490</v>
      </c>
      <c r="F1055" s="3">
        <v>5.05</v>
      </c>
    </row>
    <row r="1056" spans="1:6" ht="15" customHeight="1" x14ac:dyDescent="0.25">
      <c r="A1056" s="2" t="s">
        <v>82</v>
      </c>
      <c r="B1056" s="2" t="s">
        <v>1479</v>
      </c>
      <c r="C1056" s="2" t="s">
        <v>484</v>
      </c>
      <c r="D1056" s="2" t="s">
        <v>152</v>
      </c>
      <c r="E1056" s="2" t="s">
        <v>1491</v>
      </c>
      <c r="F1056" s="3">
        <v>23.14</v>
      </c>
    </row>
    <row r="1057" spans="1:6" ht="15" customHeight="1" x14ac:dyDescent="0.25">
      <c r="A1057" s="2" t="s">
        <v>82</v>
      </c>
      <c r="B1057" s="2" t="s">
        <v>1479</v>
      </c>
      <c r="C1057" s="2" t="s">
        <v>484</v>
      </c>
      <c r="D1057" s="2" t="s">
        <v>194</v>
      </c>
      <c r="E1057" s="2" t="s">
        <v>1492</v>
      </c>
      <c r="F1057" s="3">
        <v>7.41</v>
      </c>
    </row>
    <row r="1058" spans="1:6" ht="15" customHeight="1" x14ac:dyDescent="0.25">
      <c r="A1058" s="2" t="s">
        <v>82</v>
      </c>
      <c r="B1058" s="2" t="s">
        <v>1479</v>
      </c>
      <c r="C1058" s="2" t="s">
        <v>484</v>
      </c>
      <c r="D1058" s="2" t="s">
        <v>140</v>
      </c>
      <c r="E1058" s="2" t="s">
        <v>1493</v>
      </c>
      <c r="F1058" s="3">
        <v>37.25</v>
      </c>
    </row>
    <row r="1059" spans="1:6" ht="15" customHeight="1" x14ac:dyDescent="0.25">
      <c r="A1059" s="2" t="s">
        <v>82</v>
      </c>
      <c r="B1059" s="2" t="s">
        <v>1494</v>
      </c>
      <c r="C1059" s="2" t="s">
        <v>486</v>
      </c>
      <c r="D1059" s="2" t="s">
        <v>164</v>
      </c>
      <c r="E1059" s="2" t="s">
        <v>1495</v>
      </c>
      <c r="F1059" s="3">
        <v>-0.77</v>
      </c>
    </row>
    <row r="1060" spans="1:6" ht="15" customHeight="1" x14ac:dyDescent="0.25">
      <c r="A1060" s="2" t="s">
        <v>82</v>
      </c>
      <c r="B1060" s="2" t="s">
        <v>1494</v>
      </c>
      <c r="C1060" s="2" t="s">
        <v>484</v>
      </c>
      <c r="D1060" s="2" t="s">
        <v>164</v>
      </c>
      <c r="E1060" s="2" t="s">
        <v>1496</v>
      </c>
      <c r="F1060" s="3">
        <v>5.14</v>
      </c>
    </row>
    <row r="1061" spans="1:6" ht="15" customHeight="1" x14ac:dyDescent="0.25">
      <c r="A1061" s="2" t="s">
        <v>82</v>
      </c>
      <c r="B1061" s="2" t="s">
        <v>420</v>
      </c>
      <c r="C1061" s="2" t="s">
        <v>486</v>
      </c>
      <c r="D1061" s="2" t="s">
        <v>152</v>
      </c>
      <c r="E1061" s="2" t="s">
        <v>1497</v>
      </c>
      <c r="F1061" s="3">
        <v>-1.21</v>
      </c>
    </row>
    <row r="1062" spans="1:6" ht="15" customHeight="1" x14ac:dyDescent="0.25">
      <c r="A1062" s="2" t="s">
        <v>82</v>
      </c>
      <c r="B1062" s="2" t="s">
        <v>420</v>
      </c>
      <c r="C1062" s="2" t="s">
        <v>484</v>
      </c>
      <c r="D1062" s="2" t="s">
        <v>152</v>
      </c>
      <c r="E1062" s="2" t="s">
        <v>1498</v>
      </c>
      <c r="F1062" s="3">
        <v>8.09</v>
      </c>
    </row>
    <row r="1063" spans="1:6" ht="15" customHeight="1" x14ac:dyDescent="0.25">
      <c r="A1063" s="2" t="s">
        <v>82</v>
      </c>
      <c r="B1063" s="2" t="s">
        <v>420</v>
      </c>
      <c r="C1063" s="2" t="s">
        <v>486</v>
      </c>
      <c r="D1063" s="2" t="s">
        <v>158</v>
      </c>
      <c r="E1063" s="2" t="s">
        <v>1499</v>
      </c>
      <c r="F1063" s="3">
        <v>-0.37</v>
      </c>
    </row>
    <row r="1064" spans="1:6" ht="15" customHeight="1" x14ac:dyDescent="0.25">
      <c r="A1064" s="2" t="s">
        <v>82</v>
      </c>
      <c r="B1064" s="2" t="s">
        <v>420</v>
      </c>
      <c r="C1064" s="2" t="s">
        <v>486</v>
      </c>
      <c r="D1064" s="2" t="s">
        <v>132</v>
      </c>
      <c r="E1064" s="2" t="s">
        <v>1500</v>
      </c>
      <c r="F1064" s="3">
        <v>-2.16</v>
      </c>
    </row>
    <row r="1065" spans="1:6" ht="15" customHeight="1" x14ac:dyDescent="0.25">
      <c r="A1065" s="2" t="s">
        <v>82</v>
      </c>
      <c r="B1065" s="2" t="s">
        <v>420</v>
      </c>
      <c r="C1065" s="2" t="s">
        <v>486</v>
      </c>
      <c r="D1065" s="2" t="s">
        <v>134</v>
      </c>
      <c r="E1065" s="2" t="s">
        <v>1501</v>
      </c>
      <c r="F1065" s="3">
        <v>-1.47</v>
      </c>
    </row>
    <row r="1066" spans="1:6" ht="15" customHeight="1" x14ac:dyDescent="0.25">
      <c r="A1066" s="2" t="s">
        <v>82</v>
      </c>
      <c r="B1066" s="2" t="s">
        <v>420</v>
      </c>
      <c r="C1066" s="2" t="s">
        <v>486</v>
      </c>
      <c r="D1066" s="2" t="s">
        <v>145</v>
      </c>
      <c r="E1066" s="2" t="s">
        <v>1502</v>
      </c>
      <c r="F1066" s="3">
        <v>-0.83</v>
      </c>
    </row>
    <row r="1067" spans="1:6" ht="15" customHeight="1" x14ac:dyDescent="0.25">
      <c r="A1067" s="2" t="s">
        <v>82</v>
      </c>
      <c r="B1067" s="2" t="s">
        <v>420</v>
      </c>
      <c r="C1067" s="2" t="s">
        <v>486</v>
      </c>
      <c r="D1067" s="2" t="s">
        <v>194</v>
      </c>
      <c r="E1067" s="2" t="s">
        <v>784</v>
      </c>
      <c r="F1067" s="3">
        <v>-1.1000000000000001</v>
      </c>
    </row>
    <row r="1068" spans="1:6" ht="15" customHeight="1" x14ac:dyDescent="0.25">
      <c r="A1068" s="2" t="s">
        <v>82</v>
      </c>
      <c r="B1068" s="2" t="s">
        <v>420</v>
      </c>
      <c r="C1068" s="2" t="s">
        <v>486</v>
      </c>
      <c r="D1068" s="2" t="s">
        <v>136</v>
      </c>
      <c r="E1068" s="2" t="s">
        <v>1503</v>
      </c>
      <c r="F1068" s="3">
        <v>-0.84</v>
      </c>
    </row>
    <row r="1069" spans="1:6" ht="15" customHeight="1" x14ac:dyDescent="0.25">
      <c r="A1069" s="2" t="s">
        <v>82</v>
      </c>
      <c r="B1069" s="2" t="s">
        <v>420</v>
      </c>
      <c r="C1069" s="2" t="s">
        <v>486</v>
      </c>
      <c r="D1069" s="2" t="s">
        <v>140</v>
      </c>
      <c r="E1069" s="2" t="s">
        <v>1504</v>
      </c>
      <c r="F1069" s="3">
        <v>-1.5</v>
      </c>
    </row>
    <row r="1070" spans="1:6" ht="15" customHeight="1" x14ac:dyDescent="0.25">
      <c r="A1070" s="2" t="s">
        <v>82</v>
      </c>
      <c r="B1070" s="2" t="s">
        <v>420</v>
      </c>
      <c r="C1070" s="2" t="s">
        <v>484</v>
      </c>
      <c r="D1070" s="2" t="s">
        <v>158</v>
      </c>
      <c r="E1070" s="2" t="s">
        <v>1505</v>
      </c>
      <c r="F1070" s="3">
        <v>2.48</v>
      </c>
    </row>
    <row r="1071" spans="1:6" ht="15" customHeight="1" x14ac:dyDescent="0.25">
      <c r="A1071" s="2" t="s">
        <v>82</v>
      </c>
      <c r="B1071" s="2" t="s">
        <v>420</v>
      </c>
      <c r="C1071" s="2" t="s">
        <v>484</v>
      </c>
      <c r="D1071" s="2" t="s">
        <v>132</v>
      </c>
      <c r="E1071" s="2" t="s">
        <v>1506</v>
      </c>
      <c r="F1071" s="3">
        <v>14.46</v>
      </c>
    </row>
    <row r="1072" spans="1:6" ht="15" customHeight="1" x14ac:dyDescent="0.25">
      <c r="A1072" s="2" t="s">
        <v>82</v>
      </c>
      <c r="B1072" s="2" t="s">
        <v>420</v>
      </c>
      <c r="C1072" s="2" t="s">
        <v>484</v>
      </c>
      <c r="D1072" s="2" t="s">
        <v>134</v>
      </c>
      <c r="E1072" s="2" t="s">
        <v>1507</v>
      </c>
      <c r="F1072" s="3">
        <v>9.83</v>
      </c>
    </row>
    <row r="1073" spans="1:6" ht="15" customHeight="1" x14ac:dyDescent="0.25">
      <c r="A1073" s="2" t="s">
        <v>82</v>
      </c>
      <c r="B1073" s="2" t="s">
        <v>420</v>
      </c>
      <c r="C1073" s="2" t="s">
        <v>484</v>
      </c>
      <c r="D1073" s="2" t="s">
        <v>145</v>
      </c>
      <c r="E1073" s="2" t="s">
        <v>1508</v>
      </c>
      <c r="F1073" s="3">
        <v>5.57</v>
      </c>
    </row>
    <row r="1074" spans="1:6" ht="15" customHeight="1" x14ac:dyDescent="0.25">
      <c r="A1074" s="2" t="s">
        <v>82</v>
      </c>
      <c r="B1074" s="2" t="s">
        <v>420</v>
      </c>
      <c r="C1074" s="2" t="s">
        <v>484</v>
      </c>
      <c r="D1074" s="2" t="s">
        <v>194</v>
      </c>
      <c r="E1074" s="2" t="s">
        <v>1509</v>
      </c>
      <c r="F1074" s="3">
        <v>7.37</v>
      </c>
    </row>
    <row r="1075" spans="1:6" ht="15" customHeight="1" x14ac:dyDescent="0.25">
      <c r="A1075" s="2" t="s">
        <v>82</v>
      </c>
      <c r="B1075" s="2" t="s">
        <v>420</v>
      </c>
      <c r="C1075" s="2" t="s">
        <v>484</v>
      </c>
      <c r="D1075" s="2" t="s">
        <v>136</v>
      </c>
      <c r="E1075" s="2" t="s">
        <v>1510</v>
      </c>
      <c r="F1075" s="3">
        <v>5.6</v>
      </c>
    </row>
    <row r="1076" spans="1:6" ht="15" customHeight="1" x14ac:dyDescent="0.25">
      <c r="A1076" s="2" t="s">
        <v>82</v>
      </c>
      <c r="B1076" s="2" t="s">
        <v>420</v>
      </c>
      <c r="C1076" s="2" t="s">
        <v>484</v>
      </c>
      <c r="D1076" s="2" t="s">
        <v>140</v>
      </c>
      <c r="E1076" s="2" t="s">
        <v>1511</v>
      </c>
      <c r="F1076" s="3">
        <v>10.029999999999999</v>
      </c>
    </row>
    <row r="1077" spans="1:6" ht="15" customHeight="1" x14ac:dyDescent="0.25">
      <c r="A1077" s="2" t="s">
        <v>82</v>
      </c>
      <c r="B1077" s="2" t="s">
        <v>1512</v>
      </c>
      <c r="C1077" s="2" t="s">
        <v>486</v>
      </c>
      <c r="D1077" s="2" t="s">
        <v>170</v>
      </c>
      <c r="E1077" s="2" t="s">
        <v>785</v>
      </c>
      <c r="F1077" s="3">
        <v>-0.44</v>
      </c>
    </row>
    <row r="1078" spans="1:6" ht="15" customHeight="1" x14ac:dyDescent="0.25">
      <c r="A1078" s="2" t="s">
        <v>82</v>
      </c>
      <c r="B1078" s="2" t="s">
        <v>1512</v>
      </c>
      <c r="C1078" s="2" t="s">
        <v>484</v>
      </c>
      <c r="D1078" s="2" t="s">
        <v>170</v>
      </c>
      <c r="E1078" s="2" t="s">
        <v>1513</v>
      </c>
      <c r="F1078" s="3">
        <v>2.94</v>
      </c>
    </row>
    <row r="1079" spans="1:6" ht="15" customHeight="1" x14ac:dyDescent="0.25">
      <c r="A1079" s="2" t="s">
        <v>82</v>
      </c>
      <c r="B1079" s="2" t="s">
        <v>1514</v>
      </c>
      <c r="C1079" s="2" t="s">
        <v>486</v>
      </c>
      <c r="D1079" s="2" t="s">
        <v>164</v>
      </c>
      <c r="E1079" s="2" t="s">
        <v>1515</v>
      </c>
      <c r="F1079" s="3">
        <v>-0.95</v>
      </c>
    </row>
    <row r="1080" spans="1:6" ht="15" customHeight="1" x14ac:dyDescent="0.25">
      <c r="A1080" s="2" t="s">
        <v>82</v>
      </c>
      <c r="B1080" s="2" t="s">
        <v>1514</v>
      </c>
      <c r="C1080" s="2" t="s">
        <v>484</v>
      </c>
      <c r="D1080" s="2" t="s">
        <v>164</v>
      </c>
      <c r="E1080" s="2" t="s">
        <v>1516</v>
      </c>
      <c r="F1080" s="3">
        <v>6.34</v>
      </c>
    </row>
    <row r="1081" spans="1:6" ht="15" customHeight="1" x14ac:dyDescent="0.25">
      <c r="A1081" s="2" t="s">
        <v>82</v>
      </c>
      <c r="B1081" s="2" t="s">
        <v>1517</v>
      </c>
      <c r="C1081" s="2" t="s">
        <v>486</v>
      </c>
      <c r="D1081" s="2" t="s">
        <v>121</v>
      </c>
      <c r="E1081" s="2" t="s">
        <v>1518</v>
      </c>
      <c r="F1081" s="3">
        <v>-3.99</v>
      </c>
    </row>
    <row r="1082" spans="1:6" ht="15" customHeight="1" x14ac:dyDescent="0.25">
      <c r="A1082" s="2" t="s">
        <v>82</v>
      </c>
      <c r="B1082" s="2" t="s">
        <v>1517</v>
      </c>
      <c r="C1082" s="2" t="s">
        <v>484</v>
      </c>
      <c r="D1082" s="2" t="s">
        <v>121</v>
      </c>
      <c r="E1082" s="2" t="s">
        <v>1519</v>
      </c>
      <c r="F1082" s="3">
        <v>26.6</v>
      </c>
    </row>
    <row r="1083" spans="1:6" ht="15" customHeight="1" x14ac:dyDescent="0.25">
      <c r="A1083" s="2" t="s">
        <v>82</v>
      </c>
      <c r="B1083" s="2" t="s">
        <v>1517</v>
      </c>
      <c r="C1083" s="2" t="s">
        <v>486</v>
      </c>
      <c r="D1083" s="2" t="s">
        <v>158</v>
      </c>
      <c r="E1083" s="2" t="s">
        <v>1520</v>
      </c>
      <c r="F1083" s="3">
        <v>-0.42</v>
      </c>
    </row>
    <row r="1084" spans="1:6" ht="15" customHeight="1" x14ac:dyDescent="0.25">
      <c r="A1084" s="2" t="s">
        <v>82</v>
      </c>
      <c r="B1084" s="2" t="s">
        <v>1517</v>
      </c>
      <c r="C1084" s="2" t="s">
        <v>486</v>
      </c>
      <c r="D1084" s="2" t="s">
        <v>204</v>
      </c>
      <c r="E1084" s="2" t="s">
        <v>1352</v>
      </c>
      <c r="F1084" s="3">
        <v>-0.35</v>
      </c>
    </row>
    <row r="1085" spans="1:6" ht="15" customHeight="1" x14ac:dyDescent="0.25">
      <c r="A1085" s="2" t="s">
        <v>82</v>
      </c>
      <c r="B1085" s="2" t="s">
        <v>1517</v>
      </c>
      <c r="C1085" s="2" t="s">
        <v>486</v>
      </c>
      <c r="D1085" s="2" t="s">
        <v>132</v>
      </c>
      <c r="E1085" s="2" t="s">
        <v>1521</v>
      </c>
      <c r="F1085" s="3">
        <v>-1.43</v>
      </c>
    </row>
    <row r="1086" spans="1:6" ht="15" customHeight="1" x14ac:dyDescent="0.25">
      <c r="A1086" s="2" t="s">
        <v>82</v>
      </c>
      <c r="B1086" s="2" t="s">
        <v>1517</v>
      </c>
      <c r="C1086" s="2" t="s">
        <v>486</v>
      </c>
      <c r="D1086" s="2" t="s">
        <v>194</v>
      </c>
      <c r="E1086" s="2" t="s">
        <v>1522</v>
      </c>
      <c r="F1086" s="3">
        <v>-1.86</v>
      </c>
    </row>
    <row r="1087" spans="1:6" ht="15" customHeight="1" x14ac:dyDescent="0.25">
      <c r="A1087" s="2" t="s">
        <v>82</v>
      </c>
      <c r="B1087" s="2" t="s">
        <v>1517</v>
      </c>
      <c r="C1087" s="2" t="s">
        <v>486</v>
      </c>
      <c r="D1087" s="2" t="s">
        <v>190</v>
      </c>
      <c r="E1087" s="2" t="s">
        <v>1523</v>
      </c>
      <c r="F1087" s="3">
        <v>-0.53</v>
      </c>
    </row>
    <row r="1088" spans="1:6" ht="15" customHeight="1" x14ac:dyDescent="0.25">
      <c r="A1088" s="2" t="s">
        <v>82</v>
      </c>
      <c r="B1088" s="2" t="s">
        <v>1517</v>
      </c>
      <c r="C1088" s="2" t="s">
        <v>486</v>
      </c>
      <c r="D1088" s="2" t="s">
        <v>140</v>
      </c>
      <c r="E1088" s="2" t="s">
        <v>1524</v>
      </c>
      <c r="F1088" s="3">
        <v>-2.17</v>
      </c>
    </row>
    <row r="1089" spans="1:6" ht="15" customHeight="1" x14ac:dyDescent="0.25">
      <c r="A1089" s="2" t="s">
        <v>82</v>
      </c>
      <c r="B1089" s="2" t="s">
        <v>1517</v>
      </c>
      <c r="C1089" s="2" t="s">
        <v>484</v>
      </c>
      <c r="D1089" s="2" t="s">
        <v>158</v>
      </c>
      <c r="E1089" s="2" t="s">
        <v>1525</v>
      </c>
      <c r="F1089" s="3">
        <v>2.84</v>
      </c>
    </row>
    <row r="1090" spans="1:6" ht="15" customHeight="1" x14ac:dyDescent="0.25">
      <c r="A1090" s="2" t="s">
        <v>82</v>
      </c>
      <c r="B1090" s="2" t="s">
        <v>1517</v>
      </c>
      <c r="C1090" s="2" t="s">
        <v>484</v>
      </c>
      <c r="D1090" s="2" t="s">
        <v>204</v>
      </c>
      <c r="E1090" s="2" t="s">
        <v>1526</v>
      </c>
      <c r="F1090" s="3">
        <v>2.38</v>
      </c>
    </row>
    <row r="1091" spans="1:6" ht="15" customHeight="1" x14ac:dyDescent="0.25">
      <c r="A1091" s="2" t="s">
        <v>82</v>
      </c>
      <c r="B1091" s="2" t="s">
        <v>1517</v>
      </c>
      <c r="C1091" s="2" t="s">
        <v>484</v>
      </c>
      <c r="D1091" s="2" t="s">
        <v>132</v>
      </c>
      <c r="E1091" s="2" t="s">
        <v>1527</v>
      </c>
      <c r="F1091" s="3">
        <v>9.5399999999999991</v>
      </c>
    </row>
    <row r="1092" spans="1:6" ht="15" customHeight="1" x14ac:dyDescent="0.25">
      <c r="A1092" s="2" t="s">
        <v>82</v>
      </c>
      <c r="B1092" s="2" t="s">
        <v>1517</v>
      </c>
      <c r="C1092" s="2" t="s">
        <v>484</v>
      </c>
      <c r="D1092" s="2" t="s">
        <v>194</v>
      </c>
      <c r="E1092" s="2" t="s">
        <v>1528</v>
      </c>
      <c r="F1092" s="3">
        <v>12.46</v>
      </c>
    </row>
    <row r="1093" spans="1:6" ht="15" customHeight="1" x14ac:dyDescent="0.25">
      <c r="A1093" s="2" t="s">
        <v>82</v>
      </c>
      <c r="B1093" s="2" t="s">
        <v>1517</v>
      </c>
      <c r="C1093" s="2" t="s">
        <v>484</v>
      </c>
      <c r="D1093" s="2" t="s">
        <v>190</v>
      </c>
      <c r="E1093" s="2" t="s">
        <v>1529</v>
      </c>
      <c r="F1093" s="3">
        <v>3.57</v>
      </c>
    </row>
    <row r="1094" spans="1:6" ht="15" customHeight="1" x14ac:dyDescent="0.25">
      <c r="A1094" s="2" t="s">
        <v>82</v>
      </c>
      <c r="B1094" s="2" t="s">
        <v>1517</v>
      </c>
      <c r="C1094" s="2" t="s">
        <v>484</v>
      </c>
      <c r="D1094" s="2" t="s">
        <v>140</v>
      </c>
      <c r="E1094" s="2" t="s">
        <v>1530</v>
      </c>
      <c r="F1094" s="3">
        <v>14.47</v>
      </c>
    </row>
    <row r="1095" spans="1:6" ht="15" customHeight="1" x14ac:dyDescent="0.25">
      <c r="A1095" s="2" t="s">
        <v>82</v>
      </c>
      <c r="B1095" s="2" t="s">
        <v>1517</v>
      </c>
      <c r="C1095" s="2" t="s">
        <v>486</v>
      </c>
      <c r="D1095" s="2" t="s">
        <v>152</v>
      </c>
      <c r="E1095" s="2" t="s">
        <v>1531</v>
      </c>
      <c r="F1095" s="3">
        <v>-1.28</v>
      </c>
    </row>
    <row r="1096" spans="1:6" ht="15" customHeight="1" x14ac:dyDescent="0.25">
      <c r="A1096" s="2" t="s">
        <v>82</v>
      </c>
      <c r="B1096" s="2" t="s">
        <v>1517</v>
      </c>
      <c r="C1096" s="2" t="s">
        <v>484</v>
      </c>
      <c r="D1096" s="2" t="s">
        <v>152</v>
      </c>
      <c r="E1096" s="2" t="s">
        <v>1532</v>
      </c>
      <c r="F1096" s="3">
        <v>8.57</v>
      </c>
    </row>
    <row r="1097" spans="1:6" ht="15" customHeight="1" x14ac:dyDescent="0.25">
      <c r="A1097" s="2" t="s">
        <v>82</v>
      </c>
      <c r="B1097" s="2" t="s">
        <v>1517</v>
      </c>
      <c r="C1097" s="2" t="s">
        <v>486</v>
      </c>
      <c r="D1097" s="2" t="s">
        <v>145</v>
      </c>
      <c r="E1097" s="2" t="s">
        <v>1533</v>
      </c>
      <c r="F1097" s="3">
        <v>-1.26</v>
      </c>
    </row>
    <row r="1098" spans="1:6" ht="15" customHeight="1" x14ac:dyDescent="0.25">
      <c r="A1098" s="2" t="s">
        <v>82</v>
      </c>
      <c r="B1098" s="2" t="s">
        <v>1517</v>
      </c>
      <c r="C1098" s="2" t="s">
        <v>484</v>
      </c>
      <c r="D1098" s="2" t="s">
        <v>145</v>
      </c>
      <c r="E1098" s="2" t="s">
        <v>1534</v>
      </c>
      <c r="F1098" s="3">
        <v>8.43</v>
      </c>
    </row>
    <row r="1099" spans="1:6" ht="15" customHeight="1" x14ac:dyDescent="0.25">
      <c r="A1099" s="2" t="s">
        <v>84</v>
      </c>
      <c r="B1099" s="2" t="s">
        <v>1535</v>
      </c>
      <c r="C1099" s="2" t="s">
        <v>484</v>
      </c>
      <c r="D1099" s="2" t="s">
        <v>218</v>
      </c>
      <c r="E1099" s="2" t="s">
        <v>1536</v>
      </c>
      <c r="F1099" s="3">
        <v>3.55</v>
      </c>
    </row>
    <row r="1100" spans="1:6" ht="15" customHeight="1" x14ac:dyDescent="0.25">
      <c r="A1100" s="2" t="s">
        <v>84</v>
      </c>
      <c r="B1100" s="2" t="s">
        <v>1535</v>
      </c>
      <c r="C1100" s="2" t="s">
        <v>486</v>
      </c>
      <c r="D1100" s="2" t="s">
        <v>218</v>
      </c>
      <c r="E1100" s="2" t="s">
        <v>1537</v>
      </c>
      <c r="F1100" s="3">
        <v>-0.53</v>
      </c>
    </row>
    <row r="1101" spans="1:6" ht="15" customHeight="1" x14ac:dyDescent="0.25">
      <c r="A1101" s="2" t="s">
        <v>84</v>
      </c>
      <c r="B1101" s="2" t="s">
        <v>1535</v>
      </c>
      <c r="C1101" s="2" t="s">
        <v>486</v>
      </c>
      <c r="D1101" s="2" t="s">
        <v>129</v>
      </c>
      <c r="E1101" s="2" t="s">
        <v>1538</v>
      </c>
      <c r="F1101" s="3">
        <v>-1.95</v>
      </c>
    </row>
    <row r="1102" spans="1:6" ht="15" customHeight="1" x14ac:dyDescent="0.25">
      <c r="A1102" s="2" t="s">
        <v>84</v>
      </c>
      <c r="B1102" s="2" t="s">
        <v>1535</v>
      </c>
      <c r="C1102" s="2" t="s">
        <v>484</v>
      </c>
      <c r="D1102" s="2" t="s">
        <v>129</v>
      </c>
      <c r="E1102" s="2" t="s">
        <v>1539</v>
      </c>
      <c r="F1102" s="3">
        <v>13.01</v>
      </c>
    </row>
    <row r="1103" spans="1:6" ht="15" customHeight="1" x14ac:dyDescent="0.25">
      <c r="A1103" s="2" t="s">
        <v>84</v>
      </c>
      <c r="B1103" s="2" t="s">
        <v>424</v>
      </c>
      <c r="C1103" s="2" t="s">
        <v>486</v>
      </c>
      <c r="D1103" s="2" t="s">
        <v>162</v>
      </c>
      <c r="E1103" s="2" t="s">
        <v>1540</v>
      </c>
      <c r="F1103" s="3">
        <v>-0.96</v>
      </c>
    </row>
    <row r="1104" spans="1:6" ht="15" customHeight="1" x14ac:dyDescent="0.25">
      <c r="A1104" s="2" t="s">
        <v>84</v>
      </c>
      <c r="B1104" s="2" t="s">
        <v>424</v>
      </c>
      <c r="C1104" s="2" t="s">
        <v>486</v>
      </c>
      <c r="D1104" s="2" t="s">
        <v>164</v>
      </c>
      <c r="E1104" s="2" t="s">
        <v>1475</v>
      </c>
      <c r="F1104" s="3">
        <v>-0.85</v>
      </c>
    </row>
    <row r="1105" spans="1:6" ht="15" customHeight="1" x14ac:dyDescent="0.25">
      <c r="A1105" s="2" t="s">
        <v>84</v>
      </c>
      <c r="B1105" s="2" t="s">
        <v>424</v>
      </c>
      <c r="C1105" s="2" t="s">
        <v>486</v>
      </c>
      <c r="D1105" s="2" t="s">
        <v>166</v>
      </c>
      <c r="E1105" s="2" t="s">
        <v>1363</v>
      </c>
      <c r="F1105" s="3">
        <v>-0.41</v>
      </c>
    </row>
    <row r="1106" spans="1:6" ht="15" customHeight="1" x14ac:dyDescent="0.25">
      <c r="A1106" s="2" t="s">
        <v>84</v>
      </c>
      <c r="B1106" s="2" t="s">
        <v>424</v>
      </c>
      <c r="C1106" s="2" t="s">
        <v>486</v>
      </c>
      <c r="D1106" s="2" t="s">
        <v>127</v>
      </c>
      <c r="E1106" s="2" t="s">
        <v>1541</v>
      </c>
      <c r="F1106" s="3">
        <v>-2</v>
      </c>
    </row>
    <row r="1107" spans="1:6" ht="15" customHeight="1" x14ac:dyDescent="0.25">
      <c r="A1107" s="2" t="s">
        <v>84</v>
      </c>
      <c r="B1107" s="2" t="s">
        <v>424</v>
      </c>
      <c r="C1107" s="2" t="s">
        <v>484</v>
      </c>
      <c r="D1107" s="2" t="s">
        <v>166</v>
      </c>
      <c r="E1107" s="2" t="s">
        <v>1542</v>
      </c>
      <c r="F1107" s="3">
        <v>2.76</v>
      </c>
    </row>
    <row r="1108" spans="1:6" ht="15" customHeight="1" x14ac:dyDescent="0.25">
      <c r="A1108" s="2" t="s">
        <v>84</v>
      </c>
      <c r="B1108" s="2" t="s">
        <v>424</v>
      </c>
      <c r="C1108" s="2" t="s">
        <v>484</v>
      </c>
      <c r="D1108" s="2" t="s">
        <v>127</v>
      </c>
      <c r="E1108" s="2" t="s">
        <v>1543</v>
      </c>
      <c r="F1108" s="3">
        <v>13.38</v>
      </c>
    </row>
    <row r="1109" spans="1:6" ht="15" customHeight="1" x14ac:dyDescent="0.25">
      <c r="A1109" s="2" t="s">
        <v>84</v>
      </c>
      <c r="B1109" s="2" t="s">
        <v>424</v>
      </c>
      <c r="C1109" s="2" t="s">
        <v>484</v>
      </c>
      <c r="D1109" s="2" t="s">
        <v>115</v>
      </c>
      <c r="E1109" s="2" t="s">
        <v>1544</v>
      </c>
      <c r="F1109" s="3">
        <v>21.78</v>
      </c>
    </row>
    <row r="1110" spans="1:6" ht="15" customHeight="1" x14ac:dyDescent="0.25">
      <c r="A1110" s="2" t="s">
        <v>84</v>
      </c>
      <c r="B1110" s="2" t="s">
        <v>424</v>
      </c>
      <c r="C1110" s="2" t="s">
        <v>484</v>
      </c>
      <c r="D1110" s="2" t="s">
        <v>162</v>
      </c>
      <c r="E1110" s="2" t="s">
        <v>1545</v>
      </c>
      <c r="F1110" s="3">
        <v>6.41</v>
      </c>
    </row>
    <row r="1111" spans="1:6" ht="15" customHeight="1" x14ac:dyDescent="0.25">
      <c r="A1111" s="2" t="s">
        <v>84</v>
      </c>
      <c r="B1111" s="2" t="s">
        <v>424</v>
      </c>
      <c r="C1111" s="2" t="s">
        <v>484</v>
      </c>
      <c r="D1111" s="2" t="s">
        <v>164</v>
      </c>
      <c r="E1111" s="2" t="s">
        <v>1546</v>
      </c>
      <c r="F1111" s="3">
        <v>5.7</v>
      </c>
    </row>
    <row r="1112" spans="1:6" ht="15" customHeight="1" x14ac:dyDescent="0.25">
      <c r="A1112" s="2" t="s">
        <v>84</v>
      </c>
      <c r="B1112" s="2" t="s">
        <v>424</v>
      </c>
      <c r="C1112" s="2" t="s">
        <v>486</v>
      </c>
      <c r="D1112" s="2" t="s">
        <v>119</v>
      </c>
      <c r="E1112" s="2" t="s">
        <v>1547</v>
      </c>
      <c r="F1112" s="3">
        <v>-2.37</v>
      </c>
    </row>
    <row r="1113" spans="1:6" ht="15" customHeight="1" x14ac:dyDescent="0.25">
      <c r="A1113" s="2" t="s">
        <v>84</v>
      </c>
      <c r="B1113" s="2" t="s">
        <v>424</v>
      </c>
      <c r="C1113" s="2" t="s">
        <v>484</v>
      </c>
      <c r="D1113" s="2" t="s">
        <v>119</v>
      </c>
      <c r="E1113" s="2" t="s">
        <v>1548</v>
      </c>
      <c r="F1113" s="3">
        <v>15.85</v>
      </c>
    </row>
    <row r="1114" spans="1:6" ht="15" customHeight="1" x14ac:dyDescent="0.25">
      <c r="A1114" s="2" t="s">
        <v>84</v>
      </c>
      <c r="B1114" s="2" t="s">
        <v>424</v>
      </c>
      <c r="C1114" s="2" t="s">
        <v>486</v>
      </c>
      <c r="D1114" s="2" t="s">
        <v>115</v>
      </c>
      <c r="E1114" s="2" t="s">
        <v>1549</v>
      </c>
      <c r="F1114" s="3">
        <v>-3.26</v>
      </c>
    </row>
    <row r="1115" spans="1:6" ht="15" customHeight="1" x14ac:dyDescent="0.25">
      <c r="A1115" s="2" t="s">
        <v>84</v>
      </c>
      <c r="B1115" s="2" t="s">
        <v>1550</v>
      </c>
      <c r="C1115" s="2" t="s">
        <v>484</v>
      </c>
      <c r="D1115" s="2" t="s">
        <v>158</v>
      </c>
      <c r="E1115" s="2" t="s">
        <v>1551</v>
      </c>
      <c r="F1115" s="3">
        <v>2.37</v>
      </c>
    </row>
    <row r="1116" spans="1:6" ht="15" customHeight="1" x14ac:dyDescent="0.25">
      <c r="A1116" s="2" t="s">
        <v>84</v>
      </c>
      <c r="B1116" s="2" t="s">
        <v>1550</v>
      </c>
      <c r="C1116" s="2" t="s">
        <v>486</v>
      </c>
      <c r="D1116" s="2" t="s">
        <v>140</v>
      </c>
      <c r="E1116" s="2" t="s">
        <v>1521</v>
      </c>
      <c r="F1116" s="3">
        <v>-1.43</v>
      </c>
    </row>
    <row r="1117" spans="1:6" ht="15" customHeight="1" x14ac:dyDescent="0.25">
      <c r="A1117" s="2" t="s">
        <v>84</v>
      </c>
      <c r="B1117" s="2" t="s">
        <v>1550</v>
      </c>
      <c r="C1117" s="2" t="s">
        <v>484</v>
      </c>
      <c r="D1117" s="2" t="s">
        <v>140</v>
      </c>
      <c r="E1117" s="2" t="s">
        <v>1552</v>
      </c>
      <c r="F1117" s="3">
        <v>9.5399999999999991</v>
      </c>
    </row>
    <row r="1118" spans="1:6" ht="15" customHeight="1" x14ac:dyDescent="0.25">
      <c r="A1118" s="2" t="s">
        <v>84</v>
      </c>
      <c r="B1118" s="2" t="s">
        <v>1550</v>
      </c>
      <c r="C1118" s="2" t="s">
        <v>486</v>
      </c>
      <c r="D1118" s="2" t="s">
        <v>152</v>
      </c>
      <c r="E1118" s="2" t="s">
        <v>752</v>
      </c>
      <c r="F1118" s="3">
        <v>-1.1200000000000001</v>
      </c>
    </row>
    <row r="1119" spans="1:6" ht="15" customHeight="1" x14ac:dyDescent="0.25">
      <c r="A1119" s="2" t="s">
        <v>84</v>
      </c>
      <c r="B1119" s="2" t="s">
        <v>1550</v>
      </c>
      <c r="C1119" s="2" t="s">
        <v>484</v>
      </c>
      <c r="D1119" s="2" t="s">
        <v>152</v>
      </c>
      <c r="E1119" s="2" t="s">
        <v>1553</v>
      </c>
      <c r="F1119" s="3">
        <v>7.52</v>
      </c>
    </row>
    <row r="1120" spans="1:6" ht="15" customHeight="1" x14ac:dyDescent="0.25">
      <c r="A1120" s="2" t="s">
        <v>84</v>
      </c>
      <c r="B1120" s="2" t="s">
        <v>1550</v>
      </c>
      <c r="C1120" s="2" t="s">
        <v>486</v>
      </c>
      <c r="D1120" s="2" t="s">
        <v>158</v>
      </c>
      <c r="E1120" s="2" t="s">
        <v>1554</v>
      </c>
      <c r="F1120" s="3">
        <v>-0.35</v>
      </c>
    </row>
    <row r="1121" spans="1:6" ht="15" customHeight="1" x14ac:dyDescent="0.25">
      <c r="A1121" s="2" t="s">
        <v>84</v>
      </c>
      <c r="B1121" s="2" t="s">
        <v>1550</v>
      </c>
      <c r="C1121" s="2" t="s">
        <v>486</v>
      </c>
      <c r="D1121" s="2" t="s">
        <v>132</v>
      </c>
      <c r="E1121" s="2" t="s">
        <v>1555</v>
      </c>
      <c r="F1121" s="3">
        <v>-2.89</v>
      </c>
    </row>
    <row r="1122" spans="1:6" ht="15" customHeight="1" x14ac:dyDescent="0.25">
      <c r="A1122" s="2" t="s">
        <v>84</v>
      </c>
      <c r="B1122" s="2" t="s">
        <v>1550</v>
      </c>
      <c r="C1122" s="2" t="s">
        <v>486</v>
      </c>
      <c r="D1122" s="2" t="s">
        <v>143</v>
      </c>
      <c r="E1122" s="2" t="s">
        <v>1556</v>
      </c>
      <c r="F1122" s="3">
        <v>-1.82</v>
      </c>
    </row>
    <row r="1123" spans="1:6" ht="15" customHeight="1" x14ac:dyDescent="0.25">
      <c r="A1123" s="2" t="s">
        <v>84</v>
      </c>
      <c r="B1123" s="2" t="s">
        <v>1550</v>
      </c>
      <c r="C1123" s="2" t="s">
        <v>486</v>
      </c>
      <c r="D1123" s="2" t="s">
        <v>185</v>
      </c>
      <c r="E1123" s="2" t="s">
        <v>1557</v>
      </c>
      <c r="F1123" s="3">
        <v>-0.2</v>
      </c>
    </row>
    <row r="1124" spans="1:6" ht="15" customHeight="1" x14ac:dyDescent="0.25">
      <c r="A1124" s="2" t="s">
        <v>84</v>
      </c>
      <c r="B1124" s="2" t="s">
        <v>1550</v>
      </c>
      <c r="C1124" s="2" t="s">
        <v>486</v>
      </c>
      <c r="D1124" s="2" t="s">
        <v>145</v>
      </c>
      <c r="E1124" s="2" t="s">
        <v>1558</v>
      </c>
      <c r="F1124" s="3">
        <v>-2.2000000000000002</v>
      </c>
    </row>
    <row r="1125" spans="1:6" ht="15" customHeight="1" x14ac:dyDescent="0.25">
      <c r="A1125" s="2" t="s">
        <v>84</v>
      </c>
      <c r="B1125" s="2" t="s">
        <v>1550</v>
      </c>
      <c r="C1125" s="2" t="s">
        <v>486</v>
      </c>
      <c r="D1125" s="2" t="s">
        <v>194</v>
      </c>
      <c r="E1125" s="2" t="s">
        <v>1559</v>
      </c>
      <c r="F1125" s="3">
        <v>-1.82</v>
      </c>
    </row>
    <row r="1126" spans="1:6" ht="15" customHeight="1" x14ac:dyDescent="0.25">
      <c r="A1126" s="2" t="s">
        <v>84</v>
      </c>
      <c r="B1126" s="2" t="s">
        <v>1550</v>
      </c>
      <c r="C1126" s="2" t="s">
        <v>484</v>
      </c>
      <c r="D1126" s="2" t="s">
        <v>132</v>
      </c>
      <c r="E1126" s="2" t="s">
        <v>1560</v>
      </c>
      <c r="F1126" s="3">
        <v>19.329999999999998</v>
      </c>
    </row>
    <row r="1127" spans="1:6" ht="15" customHeight="1" x14ac:dyDescent="0.25">
      <c r="A1127" s="2" t="s">
        <v>84</v>
      </c>
      <c r="B1127" s="2" t="s">
        <v>1550</v>
      </c>
      <c r="C1127" s="2" t="s">
        <v>484</v>
      </c>
      <c r="D1127" s="2" t="s">
        <v>143</v>
      </c>
      <c r="E1127" s="2" t="s">
        <v>1561</v>
      </c>
      <c r="F1127" s="3">
        <v>12.18</v>
      </c>
    </row>
    <row r="1128" spans="1:6" ht="15" customHeight="1" x14ac:dyDescent="0.25">
      <c r="A1128" s="2" t="s">
        <v>84</v>
      </c>
      <c r="B1128" s="2" t="s">
        <v>1550</v>
      </c>
      <c r="C1128" s="2" t="s">
        <v>484</v>
      </c>
      <c r="D1128" s="2" t="s">
        <v>185</v>
      </c>
      <c r="E1128" s="2" t="s">
        <v>1562</v>
      </c>
      <c r="F1128" s="3">
        <v>1.35</v>
      </c>
    </row>
    <row r="1129" spans="1:6" ht="15" customHeight="1" x14ac:dyDescent="0.25">
      <c r="A1129" s="2" t="s">
        <v>84</v>
      </c>
      <c r="B1129" s="2" t="s">
        <v>1550</v>
      </c>
      <c r="C1129" s="2" t="s">
        <v>484</v>
      </c>
      <c r="D1129" s="2" t="s">
        <v>145</v>
      </c>
      <c r="E1129" s="2" t="s">
        <v>1563</v>
      </c>
      <c r="F1129" s="3">
        <v>14.72</v>
      </c>
    </row>
    <row r="1130" spans="1:6" ht="15" customHeight="1" x14ac:dyDescent="0.25">
      <c r="A1130" s="2" t="s">
        <v>84</v>
      </c>
      <c r="B1130" s="2" t="s">
        <v>1550</v>
      </c>
      <c r="C1130" s="2" t="s">
        <v>484</v>
      </c>
      <c r="D1130" s="2" t="s">
        <v>194</v>
      </c>
      <c r="E1130" s="2" t="s">
        <v>1564</v>
      </c>
      <c r="F1130" s="3">
        <v>12.19</v>
      </c>
    </row>
    <row r="1131" spans="1:6" ht="15" customHeight="1" x14ac:dyDescent="0.25">
      <c r="A1131" s="2" t="s">
        <v>84</v>
      </c>
      <c r="B1131" s="2" t="s">
        <v>1565</v>
      </c>
      <c r="C1131" s="2" t="s">
        <v>486</v>
      </c>
      <c r="D1131" s="2" t="s">
        <v>183</v>
      </c>
      <c r="E1131" s="2" t="s">
        <v>1520</v>
      </c>
      <c r="F1131" s="3">
        <v>-0.42</v>
      </c>
    </row>
    <row r="1132" spans="1:6" ht="15" customHeight="1" x14ac:dyDescent="0.25">
      <c r="A1132" s="2" t="s">
        <v>84</v>
      </c>
      <c r="B1132" s="2" t="s">
        <v>1565</v>
      </c>
      <c r="C1132" s="2" t="s">
        <v>484</v>
      </c>
      <c r="D1132" s="2" t="s">
        <v>183</v>
      </c>
      <c r="E1132" s="2" t="s">
        <v>1566</v>
      </c>
      <c r="F1132" s="3">
        <v>2.84</v>
      </c>
    </row>
    <row r="1133" spans="1:6" ht="15" customHeight="1" x14ac:dyDescent="0.25">
      <c r="A1133" s="2" t="s">
        <v>84</v>
      </c>
      <c r="B1133" s="2" t="s">
        <v>1567</v>
      </c>
      <c r="C1133" s="2" t="s">
        <v>486</v>
      </c>
      <c r="D1133" s="2" t="s">
        <v>164</v>
      </c>
      <c r="E1133" s="2" t="s">
        <v>1568</v>
      </c>
      <c r="F1133" s="3">
        <v>-0.73</v>
      </c>
    </row>
    <row r="1134" spans="1:6" ht="15" customHeight="1" x14ac:dyDescent="0.25">
      <c r="A1134" s="2" t="s">
        <v>84</v>
      </c>
      <c r="B1134" s="2" t="s">
        <v>1567</v>
      </c>
      <c r="C1134" s="2" t="s">
        <v>484</v>
      </c>
      <c r="D1134" s="2" t="s">
        <v>215</v>
      </c>
      <c r="E1134" s="2" t="s">
        <v>1569</v>
      </c>
      <c r="F1134" s="3">
        <v>11.5</v>
      </c>
    </row>
    <row r="1135" spans="1:6" ht="15" customHeight="1" x14ac:dyDescent="0.25">
      <c r="A1135" s="2" t="s">
        <v>84</v>
      </c>
      <c r="B1135" s="2" t="s">
        <v>1567</v>
      </c>
      <c r="C1135" s="2" t="s">
        <v>486</v>
      </c>
      <c r="D1135" s="2" t="s">
        <v>215</v>
      </c>
      <c r="E1135" s="2" t="s">
        <v>1570</v>
      </c>
      <c r="F1135" s="3">
        <v>-1.72</v>
      </c>
    </row>
    <row r="1136" spans="1:6" ht="15" customHeight="1" x14ac:dyDescent="0.25">
      <c r="A1136" s="2" t="s">
        <v>84</v>
      </c>
      <c r="B1136" s="2" t="s">
        <v>1567</v>
      </c>
      <c r="C1136" s="2" t="s">
        <v>486</v>
      </c>
      <c r="D1136" s="2" t="s">
        <v>179</v>
      </c>
      <c r="E1136" s="2" t="s">
        <v>1571</v>
      </c>
      <c r="F1136" s="3">
        <v>-4.2</v>
      </c>
    </row>
    <row r="1137" spans="1:6" ht="15" customHeight="1" x14ac:dyDescent="0.25">
      <c r="A1137" s="2" t="s">
        <v>84</v>
      </c>
      <c r="B1137" s="2" t="s">
        <v>1567</v>
      </c>
      <c r="C1137" s="2" t="s">
        <v>484</v>
      </c>
      <c r="D1137" s="2" t="s">
        <v>179</v>
      </c>
      <c r="E1137" s="2" t="s">
        <v>1572</v>
      </c>
      <c r="F1137" s="3">
        <v>28</v>
      </c>
    </row>
    <row r="1138" spans="1:6" ht="15" customHeight="1" x14ac:dyDescent="0.25">
      <c r="A1138" s="2" t="s">
        <v>84</v>
      </c>
      <c r="B1138" s="2" t="s">
        <v>1567</v>
      </c>
      <c r="C1138" s="2" t="s">
        <v>486</v>
      </c>
      <c r="D1138" s="2" t="s">
        <v>196</v>
      </c>
      <c r="E1138" s="2" t="s">
        <v>1338</v>
      </c>
      <c r="F1138" s="3">
        <v>-0.54</v>
      </c>
    </row>
    <row r="1139" spans="1:6" ht="15" customHeight="1" x14ac:dyDescent="0.25">
      <c r="A1139" s="2" t="s">
        <v>84</v>
      </c>
      <c r="B1139" s="2" t="s">
        <v>1567</v>
      </c>
      <c r="C1139" s="2" t="s">
        <v>484</v>
      </c>
      <c r="D1139" s="2" t="s">
        <v>196</v>
      </c>
      <c r="E1139" s="2" t="s">
        <v>1573</v>
      </c>
      <c r="F1139" s="3">
        <v>3.6</v>
      </c>
    </row>
    <row r="1140" spans="1:6" ht="15" customHeight="1" x14ac:dyDescent="0.25">
      <c r="A1140" s="2" t="s">
        <v>84</v>
      </c>
      <c r="B1140" s="2" t="s">
        <v>1567</v>
      </c>
      <c r="C1140" s="2" t="s">
        <v>484</v>
      </c>
      <c r="D1140" s="2" t="s">
        <v>164</v>
      </c>
      <c r="E1140" s="2" t="s">
        <v>1574</v>
      </c>
      <c r="F1140" s="3">
        <v>4.93</v>
      </c>
    </row>
    <row r="1141" spans="1:6" ht="15" customHeight="1" x14ac:dyDescent="0.25">
      <c r="A1141" s="2" t="s">
        <v>84</v>
      </c>
      <c r="B1141" s="2" t="s">
        <v>426</v>
      </c>
      <c r="C1141" s="2" t="s">
        <v>484</v>
      </c>
      <c r="D1141" s="2" t="s">
        <v>140</v>
      </c>
      <c r="E1141" s="2" t="s">
        <v>1575</v>
      </c>
      <c r="F1141" s="3">
        <v>8.9499999999999993</v>
      </c>
    </row>
    <row r="1142" spans="1:6" ht="15" customHeight="1" x14ac:dyDescent="0.25">
      <c r="A1142" s="2" t="s">
        <v>84</v>
      </c>
      <c r="B1142" s="2" t="s">
        <v>426</v>
      </c>
      <c r="C1142" s="2" t="s">
        <v>486</v>
      </c>
      <c r="D1142" s="2" t="s">
        <v>152</v>
      </c>
      <c r="E1142" s="2" t="s">
        <v>1576</v>
      </c>
      <c r="F1142" s="3">
        <v>-1.28</v>
      </c>
    </row>
    <row r="1143" spans="1:6" ht="15" customHeight="1" x14ac:dyDescent="0.25">
      <c r="A1143" s="2" t="s">
        <v>84</v>
      </c>
      <c r="B1143" s="2" t="s">
        <v>426</v>
      </c>
      <c r="C1143" s="2" t="s">
        <v>484</v>
      </c>
      <c r="D1143" s="2" t="s">
        <v>152</v>
      </c>
      <c r="E1143" s="2" t="s">
        <v>1577</v>
      </c>
      <c r="F1143" s="3">
        <v>8.5399999999999991</v>
      </c>
    </row>
    <row r="1144" spans="1:6" ht="15" customHeight="1" x14ac:dyDescent="0.25">
      <c r="A1144" s="2" t="s">
        <v>84</v>
      </c>
      <c r="B1144" s="2" t="s">
        <v>426</v>
      </c>
      <c r="C1144" s="2" t="s">
        <v>486</v>
      </c>
      <c r="D1144" s="2" t="s">
        <v>154</v>
      </c>
      <c r="E1144" s="2" t="s">
        <v>1578</v>
      </c>
      <c r="F1144" s="3">
        <v>-0.2</v>
      </c>
    </row>
    <row r="1145" spans="1:6" ht="15" customHeight="1" x14ac:dyDescent="0.25">
      <c r="A1145" s="2" t="s">
        <v>84</v>
      </c>
      <c r="B1145" s="2" t="s">
        <v>426</v>
      </c>
      <c r="C1145" s="2" t="s">
        <v>484</v>
      </c>
      <c r="D1145" s="2" t="s">
        <v>154</v>
      </c>
      <c r="E1145" s="2" t="s">
        <v>1579</v>
      </c>
      <c r="F1145" s="3">
        <v>1.34</v>
      </c>
    </row>
    <row r="1146" spans="1:6" ht="15" customHeight="1" x14ac:dyDescent="0.25">
      <c r="A1146" s="2" t="s">
        <v>84</v>
      </c>
      <c r="B1146" s="2" t="s">
        <v>426</v>
      </c>
      <c r="C1146" s="2" t="s">
        <v>486</v>
      </c>
      <c r="D1146" s="2" t="s">
        <v>158</v>
      </c>
      <c r="E1146" s="2" t="s">
        <v>1580</v>
      </c>
      <c r="F1146" s="3">
        <v>-0.28000000000000003</v>
      </c>
    </row>
    <row r="1147" spans="1:6" ht="15" customHeight="1" x14ac:dyDescent="0.25">
      <c r="A1147" s="2" t="s">
        <v>84</v>
      </c>
      <c r="B1147" s="2" t="s">
        <v>426</v>
      </c>
      <c r="C1147" s="2" t="s">
        <v>486</v>
      </c>
      <c r="D1147" s="2" t="s">
        <v>145</v>
      </c>
      <c r="E1147" s="2" t="s">
        <v>1581</v>
      </c>
      <c r="F1147" s="3">
        <v>-1.08</v>
      </c>
    </row>
    <row r="1148" spans="1:6" ht="15" customHeight="1" x14ac:dyDescent="0.25">
      <c r="A1148" s="2" t="s">
        <v>84</v>
      </c>
      <c r="B1148" s="2" t="s">
        <v>426</v>
      </c>
      <c r="C1148" s="2" t="s">
        <v>486</v>
      </c>
      <c r="D1148" s="2" t="s">
        <v>194</v>
      </c>
      <c r="E1148" s="2" t="s">
        <v>1582</v>
      </c>
      <c r="F1148" s="3">
        <v>-1.37</v>
      </c>
    </row>
    <row r="1149" spans="1:6" ht="15" customHeight="1" x14ac:dyDescent="0.25">
      <c r="A1149" s="2" t="s">
        <v>84</v>
      </c>
      <c r="B1149" s="2" t="s">
        <v>426</v>
      </c>
      <c r="C1149" s="2" t="s">
        <v>486</v>
      </c>
      <c r="D1149" s="2" t="s">
        <v>132</v>
      </c>
      <c r="E1149" s="2" t="s">
        <v>1583</v>
      </c>
      <c r="F1149" s="3">
        <v>-1.01</v>
      </c>
    </row>
    <row r="1150" spans="1:6" ht="15" customHeight="1" x14ac:dyDescent="0.25">
      <c r="A1150" s="2" t="s">
        <v>84</v>
      </c>
      <c r="B1150" s="2" t="s">
        <v>426</v>
      </c>
      <c r="C1150" s="2" t="s">
        <v>484</v>
      </c>
      <c r="D1150" s="2" t="s">
        <v>158</v>
      </c>
      <c r="E1150" s="2" t="s">
        <v>1584</v>
      </c>
      <c r="F1150" s="3">
        <v>1.93</v>
      </c>
    </row>
    <row r="1151" spans="1:6" ht="15" customHeight="1" x14ac:dyDescent="0.25">
      <c r="A1151" s="2" t="s">
        <v>84</v>
      </c>
      <c r="B1151" s="2" t="s">
        <v>426</v>
      </c>
      <c r="C1151" s="2" t="s">
        <v>484</v>
      </c>
      <c r="D1151" s="2" t="s">
        <v>145</v>
      </c>
      <c r="E1151" s="2" t="s">
        <v>1585</v>
      </c>
      <c r="F1151" s="3">
        <v>7.2</v>
      </c>
    </row>
    <row r="1152" spans="1:6" ht="15" customHeight="1" x14ac:dyDescent="0.25">
      <c r="A1152" s="2" t="s">
        <v>84</v>
      </c>
      <c r="B1152" s="2" t="s">
        <v>426</v>
      </c>
      <c r="C1152" s="2" t="s">
        <v>484</v>
      </c>
      <c r="D1152" s="2" t="s">
        <v>194</v>
      </c>
      <c r="E1152" s="2" t="s">
        <v>1586</v>
      </c>
      <c r="F1152" s="3">
        <v>9.17</v>
      </c>
    </row>
    <row r="1153" spans="1:6" ht="15" customHeight="1" x14ac:dyDescent="0.25">
      <c r="A1153" s="2" t="s">
        <v>84</v>
      </c>
      <c r="B1153" s="2" t="s">
        <v>426</v>
      </c>
      <c r="C1153" s="2" t="s">
        <v>484</v>
      </c>
      <c r="D1153" s="2" t="s">
        <v>132</v>
      </c>
      <c r="E1153" s="2" t="s">
        <v>1587</v>
      </c>
      <c r="F1153" s="3">
        <v>6.76</v>
      </c>
    </row>
    <row r="1154" spans="1:6" ht="15" customHeight="1" x14ac:dyDescent="0.25">
      <c r="A1154" s="2" t="s">
        <v>84</v>
      </c>
      <c r="B1154" s="2" t="s">
        <v>426</v>
      </c>
      <c r="C1154" s="2" t="s">
        <v>486</v>
      </c>
      <c r="D1154" s="2" t="s">
        <v>140</v>
      </c>
      <c r="E1154" s="2" t="s">
        <v>1588</v>
      </c>
      <c r="F1154" s="3">
        <v>-1.34</v>
      </c>
    </row>
    <row r="1155" spans="1:6" ht="15" customHeight="1" x14ac:dyDescent="0.25">
      <c r="A1155" s="2" t="s">
        <v>84</v>
      </c>
      <c r="B1155" s="2" t="s">
        <v>1589</v>
      </c>
      <c r="C1155" s="2" t="s">
        <v>484</v>
      </c>
      <c r="D1155" s="2" t="s">
        <v>164</v>
      </c>
      <c r="E1155" s="2" t="s">
        <v>1590</v>
      </c>
      <c r="F1155" s="3">
        <v>4.26</v>
      </c>
    </row>
    <row r="1156" spans="1:6" ht="15" customHeight="1" x14ac:dyDescent="0.25">
      <c r="A1156" s="2" t="s">
        <v>84</v>
      </c>
      <c r="B1156" s="2" t="s">
        <v>1589</v>
      </c>
      <c r="C1156" s="2" t="s">
        <v>486</v>
      </c>
      <c r="D1156" s="2" t="s">
        <v>164</v>
      </c>
      <c r="E1156" s="2" t="s">
        <v>1591</v>
      </c>
      <c r="F1156" s="3">
        <v>-0.63</v>
      </c>
    </row>
    <row r="1157" spans="1:6" ht="15" customHeight="1" x14ac:dyDescent="0.25">
      <c r="A1157" s="2" t="s">
        <v>84</v>
      </c>
      <c r="B1157" s="2" t="s">
        <v>1592</v>
      </c>
      <c r="C1157" s="2" t="s">
        <v>486</v>
      </c>
      <c r="D1157" s="2" t="s">
        <v>194</v>
      </c>
      <c r="E1157" s="2" t="s">
        <v>1593</v>
      </c>
      <c r="F1157" s="3">
        <v>-1.2</v>
      </c>
    </row>
    <row r="1158" spans="1:6" ht="15" customHeight="1" x14ac:dyDescent="0.25">
      <c r="A1158" s="2" t="s">
        <v>84</v>
      </c>
      <c r="B1158" s="2" t="s">
        <v>1592</v>
      </c>
      <c r="C1158" s="2" t="s">
        <v>486</v>
      </c>
      <c r="D1158" s="2" t="s">
        <v>181</v>
      </c>
      <c r="E1158" s="2" t="s">
        <v>1156</v>
      </c>
      <c r="F1158" s="3">
        <v>-0.38</v>
      </c>
    </row>
    <row r="1159" spans="1:6" ht="15" customHeight="1" x14ac:dyDescent="0.25">
      <c r="A1159" s="2" t="s">
        <v>84</v>
      </c>
      <c r="B1159" s="2" t="s">
        <v>1592</v>
      </c>
      <c r="C1159" s="2" t="s">
        <v>486</v>
      </c>
      <c r="D1159" s="2" t="s">
        <v>158</v>
      </c>
      <c r="E1159" s="2" t="s">
        <v>1594</v>
      </c>
      <c r="F1159" s="3">
        <v>-0.27</v>
      </c>
    </row>
    <row r="1160" spans="1:6" ht="15" customHeight="1" x14ac:dyDescent="0.25">
      <c r="A1160" s="2" t="s">
        <v>84</v>
      </c>
      <c r="B1160" s="2" t="s">
        <v>1592</v>
      </c>
      <c r="C1160" s="2" t="s">
        <v>486</v>
      </c>
      <c r="D1160" s="2" t="s">
        <v>132</v>
      </c>
      <c r="E1160" s="2" t="s">
        <v>1595</v>
      </c>
      <c r="F1160" s="3">
        <v>-1.07</v>
      </c>
    </row>
    <row r="1161" spans="1:6" ht="15" customHeight="1" x14ac:dyDescent="0.25">
      <c r="A1161" s="2" t="s">
        <v>84</v>
      </c>
      <c r="B1161" s="2" t="s">
        <v>1592</v>
      </c>
      <c r="C1161" s="2" t="s">
        <v>486</v>
      </c>
      <c r="D1161" s="2" t="s">
        <v>140</v>
      </c>
      <c r="E1161" s="2" t="s">
        <v>1596</v>
      </c>
      <c r="F1161" s="3">
        <v>-1.02</v>
      </c>
    </row>
    <row r="1162" spans="1:6" ht="15" customHeight="1" x14ac:dyDescent="0.25">
      <c r="A1162" s="2" t="s">
        <v>84</v>
      </c>
      <c r="B1162" s="2" t="s">
        <v>1592</v>
      </c>
      <c r="C1162" s="2" t="s">
        <v>486</v>
      </c>
      <c r="D1162" s="2" t="s">
        <v>145</v>
      </c>
      <c r="E1162" s="2" t="s">
        <v>1597</v>
      </c>
      <c r="F1162" s="3">
        <v>-1.1200000000000001</v>
      </c>
    </row>
    <row r="1163" spans="1:6" ht="15" customHeight="1" x14ac:dyDescent="0.25">
      <c r="A1163" s="2" t="s">
        <v>84</v>
      </c>
      <c r="B1163" s="2" t="s">
        <v>1592</v>
      </c>
      <c r="C1163" s="2" t="s">
        <v>486</v>
      </c>
      <c r="D1163" s="2" t="s">
        <v>152</v>
      </c>
      <c r="E1163" s="2" t="s">
        <v>1598</v>
      </c>
      <c r="F1163" s="3">
        <v>-1.1599999999999999</v>
      </c>
    </row>
    <row r="1164" spans="1:6" ht="15" customHeight="1" x14ac:dyDescent="0.25">
      <c r="A1164" s="2" t="s">
        <v>84</v>
      </c>
      <c r="B1164" s="2" t="s">
        <v>1592</v>
      </c>
      <c r="C1164" s="2" t="s">
        <v>484</v>
      </c>
      <c r="D1164" s="2" t="s">
        <v>194</v>
      </c>
      <c r="E1164" s="2" t="s">
        <v>1599</v>
      </c>
      <c r="F1164" s="3">
        <v>8.0299999999999994</v>
      </c>
    </row>
    <row r="1165" spans="1:6" ht="15" customHeight="1" x14ac:dyDescent="0.25">
      <c r="A1165" s="2" t="s">
        <v>84</v>
      </c>
      <c r="B1165" s="2" t="s">
        <v>1592</v>
      </c>
      <c r="C1165" s="2" t="s">
        <v>484</v>
      </c>
      <c r="D1165" s="2" t="s">
        <v>181</v>
      </c>
      <c r="E1165" s="2" t="s">
        <v>1600</v>
      </c>
      <c r="F1165" s="3">
        <v>2.59</v>
      </c>
    </row>
    <row r="1166" spans="1:6" ht="15" customHeight="1" x14ac:dyDescent="0.25">
      <c r="A1166" s="2" t="s">
        <v>84</v>
      </c>
      <c r="B1166" s="2" t="s">
        <v>1592</v>
      </c>
      <c r="C1166" s="2" t="s">
        <v>484</v>
      </c>
      <c r="D1166" s="2" t="s">
        <v>158</v>
      </c>
      <c r="E1166" s="2" t="s">
        <v>1601</v>
      </c>
      <c r="F1166" s="3">
        <v>1.85</v>
      </c>
    </row>
    <row r="1167" spans="1:6" ht="15" customHeight="1" x14ac:dyDescent="0.25">
      <c r="A1167" s="2" t="s">
        <v>84</v>
      </c>
      <c r="B1167" s="2" t="s">
        <v>1592</v>
      </c>
      <c r="C1167" s="2" t="s">
        <v>484</v>
      </c>
      <c r="D1167" s="2" t="s">
        <v>132</v>
      </c>
      <c r="E1167" s="2" t="s">
        <v>1602</v>
      </c>
      <c r="F1167" s="3">
        <v>7.19</v>
      </c>
    </row>
    <row r="1168" spans="1:6" ht="15" customHeight="1" x14ac:dyDescent="0.25">
      <c r="A1168" s="2" t="s">
        <v>84</v>
      </c>
      <c r="B1168" s="2" t="s">
        <v>1592</v>
      </c>
      <c r="C1168" s="2" t="s">
        <v>484</v>
      </c>
      <c r="D1168" s="2" t="s">
        <v>140</v>
      </c>
      <c r="E1168" s="2" t="s">
        <v>1603</v>
      </c>
      <c r="F1168" s="3">
        <v>6.83</v>
      </c>
    </row>
    <row r="1169" spans="1:6" ht="15" customHeight="1" x14ac:dyDescent="0.25">
      <c r="A1169" s="2" t="s">
        <v>84</v>
      </c>
      <c r="B1169" s="2" t="s">
        <v>1592</v>
      </c>
      <c r="C1169" s="2" t="s">
        <v>484</v>
      </c>
      <c r="D1169" s="2" t="s">
        <v>145</v>
      </c>
      <c r="E1169" s="2" t="s">
        <v>1604</v>
      </c>
      <c r="F1169" s="3">
        <v>7.49</v>
      </c>
    </row>
    <row r="1170" spans="1:6" ht="15" customHeight="1" x14ac:dyDescent="0.25">
      <c r="A1170" s="2" t="s">
        <v>84</v>
      </c>
      <c r="B1170" s="2" t="s">
        <v>1592</v>
      </c>
      <c r="C1170" s="2" t="s">
        <v>484</v>
      </c>
      <c r="D1170" s="2" t="s">
        <v>152</v>
      </c>
      <c r="E1170" s="2" t="s">
        <v>1605</v>
      </c>
      <c r="F1170" s="3">
        <v>7.77</v>
      </c>
    </row>
    <row r="1171" spans="1:6" ht="15" customHeight="1" x14ac:dyDescent="0.25">
      <c r="A1171" s="2" t="s">
        <v>84</v>
      </c>
      <c r="B1171" s="2" t="s">
        <v>428</v>
      </c>
      <c r="C1171" s="2" t="s">
        <v>484</v>
      </c>
      <c r="D1171" s="2" t="s">
        <v>204</v>
      </c>
      <c r="E1171" s="2" t="s">
        <v>1606</v>
      </c>
      <c r="F1171" s="3">
        <v>2.38</v>
      </c>
    </row>
    <row r="1172" spans="1:6" ht="15" customHeight="1" x14ac:dyDescent="0.25">
      <c r="A1172" s="2" t="s">
        <v>84</v>
      </c>
      <c r="B1172" s="2" t="s">
        <v>428</v>
      </c>
      <c r="C1172" s="2" t="s">
        <v>486</v>
      </c>
      <c r="D1172" s="2" t="s">
        <v>204</v>
      </c>
      <c r="E1172" s="2" t="s">
        <v>1352</v>
      </c>
      <c r="F1172" s="3">
        <v>-0.35</v>
      </c>
    </row>
    <row r="1173" spans="1:6" ht="15" customHeight="1" x14ac:dyDescent="0.25">
      <c r="A1173" s="2" t="s">
        <v>84</v>
      </c>
      <c r="B1173" s="2" t="s">
        <v>428</v>
      </c>
      <c r="C1173" s="2" t="s">
        <v>486</v>
      </c>
      <c r="D1173" s="2" t="s">
        <v>170</v>
      </c>
      <c r="E1173" s="2" t="s">
        <v>1607</v>
      </c>
      <c r="F1173" s="3">
        <v>-0.51</v>
      </c>
    </row>
    <row r="1174" spans="1:6" ht="15" customHeight="1" x14ac:dyDescent="0.25">
      <c r="A1174" s="2" t="s">
        <v>84</v>
      </c>
      <c r="B1174" s="2" t="s">
        <v>428</v>
      </c>
      <c r="C1174" s="2" t="s">
        <v>484</v>
      </c>
      <c r="D1174" s="2" t="s">
        <v>170</v>
      </c>
      <c r="E1174" s="2" t="s">
        <v>1608</v>
      </c>
      <c r="F1174" s="3">
        <v>3.43</v>
      </c>
    </row>
    <row r="1175" spans="1:6" ht="15" customHeight="1" x14ac:dyDescent="0.25">
      <c r="A1175" s="2" t="s">
        <v>84</v>
      </c>
      <c r="B1175" s="2" t="s">
        <v>428</v>
      </c>
      <c r="C1175" s="2" t="s">
        <v>486</v>
      </c>
      <c r="D1175" s="2" t="s">
        <v>134</v>
      </c>
      <c r="E1175" s="2" t="s">
        <v>1609</v>
      </c>
      <c r="F1175" s="3">
        <v>-1.58</v>
      </c>
    </row>
    <row r="1176" spans="1:6" ht="15" customHeight="1" x14ac:dyDescent="0.25">
      <c r="A1176" s="2" t="s">
        <v>84</v>
      </c>
      <c r="B1176" s="2" t="s">
        <v>428</v>
      </c>
      <c r="C1176" s="2" t="s">
        <v>484</v>
      </c>
      <c r="D1176" s="2" t="s">
        <v>134</v>
      </c>
      <c r="E1176" s="2" t="s">
        <v>1610</v>
      </c>
      <c r="F1176" s="3">
        <v>10.59</v>
      </c>
    </row>
    <row r="1177" spans="1:6" ht="15" customHeight="1" x14ac:dyDescent="0.25">
      <c r="A1177" s="2" t="s">
        <v>84</v>
      </c>
      <c r="B1177" s="2" t="s">
        <v>428</v>
      </c>
      <c r="C1177" s="2" t="s">
        <v>484</v>
      </c>
      <c r="D1177" s="2" t="s">
        <v>121</v>
      </c>
      <c r="E1177" s="2" t="s">
        <v>1611</v>
      </c>
      <c r="F1177" s="3">
        <v>25.26</v>
      </c>
    </row>
    <row r="1178" spans="1:6" ht="15" customHeight="1" x14ac:dyDescent="0.25">
      <c r="A1178" s="2" t="s">
        <v>84</v>
      </c>
      <c r="B1178" s="2" t="s">
        <v>428</v>
      </c>
      <c r="C1178" s="2" t="s">
        <v>486</v>
      </c>
      <c r="D1178" s="2" t="s">
        <v>121</v>
      </c>
      <c r="E1178" s="2" t="s">
        <v>1612</v>
      </c>
      <c r="F1178" s="3">
        <v>-3.78</v>
      </c>
    </row>
    <row r="1179" spans="1:6" ht="15" customHeight="1" x14ac:dyDescent="0.25">
      <c r="A1179" s="2" t="s">
        <v>84</v>
      </c>
      <c r="B1179" s="2" t="s">
        <v>428</v>
      </c>
      <c r="C1179" s="2" t="s">
        <v>486</v>
      </c>
      <c r="D1179" s="2" t="s">
        <v>244</v>
      </c>
      <c r="E1179" s="2" t="s">
        <v>1613</v>
      </c>
      <c r="F1179" s="3">
        <v>-7.0000000000000007E-2</v>
      </c>
    </row>
    <row r="1180" spans="1:6" ht="15" customHeight="1" x14ac:dyDescent="0.25">
      <c r="A1180" s="2" t="s">
        <v>84</v>
      </c>
      <c r="B1180" s="2" t="s">
        <v>428</v>
      </c>
      <c r="C1180" s="2" t="s">
        <v>484</v>
      </c>
      <c r="D1180" s="2" t="s">
        <v>244</v>
      </c>
      <c r="E1180" s="2" t="s">
        <v>1614</v>
      </c>
      <c r="F1180" s="3">
        <v>0.47</v>
      </c>
    </row>
    <row r="1181" spans="1:6" ht="15" customHeight="1" x14ac:dyDescent="0.25">
      <c r="A1181" s="2" t="s">
        <v>84</v>
      </c>
      <c r="B1181" s="2" t="s">
        <v>428</v>
      </c>
      <c r="C1181" s="2" t="s">
        <v>486</v>
      </c>
      <c r="D1181" s="2" t="s">
        <v>190</v>
      </c>
      <c r="E1181" s="2" t="s">
        <v>1523</v>
      </c>
      <c r="F1181" s="3">
        <v>-0.53</v>
      </c>
    </row>
    <row r="1182" spans="1:6" ht="15" customHeight="1" x14ac:dyDescent="0.25">
      <c r="A1182" s="2" t="s">
        <v>84</v>
      </c>
      <c r="B1182" s="2" t="s">
        <v>428</v>
      </c>
      <c r="C1182" s="2" t="s">
        <v>484</v>
      </c>
      <c r="D1182" s="2" t="s">
        <v>190</v>
      </c>
      <c r="E1182" s="2" t="s">
        <v>1615</v>
      </c>
      <c r="F1182" s="3">
        <v>3.57</v>
      </c>
    </row>
    <row r="1183" spans="1:6" ht="15" customHeight="1" x14ac:dyDescent="0.25">
      <c r="A1183" s="2" t="s">
        <v>84</v>
      </c>
      <c r="B1183" s="2" t="s">
        <v>428</v>
      </c>
      <c r="C1183" s="2" t="s">
        <v>484</v>
      </c>
      <c r="D1183" s="2" t="s">
        <v>136</v>
      </c>
      <c r="E1183" s="2" t="s">
        <v>1616</v>
      </c>
      <c r="F1183" s="3">
        <v>6.01</v>
      </c>
    </row>
    <row r="1184" spans="1:6" ht="15" customHeight="1" x14ac:dyDescent="0.25">
      <c r="A1184" s="2" t="s">
        <v>84</v>
      </c>
      <c r="B1184" s="2" t="s">
        <v>428</v>
      </c>
      <c r="C1184" s="2" t="s">
        <v>486</v>
      </c>
      <c r="D1184" s="2" t="s">
        <v>136</v>
      </c>
      <c r="E1184" s="2" t="s">
        <v>1092</v>
      </c>
      <c r="F1184" s="3">
        <v>-0.9</v>
      </c>
    </row>
    <row r="1185" spans="1:6" ht="15" customHeight="1" x14ac:dyDescent="0.25">
      <c r="A1185" s="2" t="s">
        <v>84</v>
      </c>
      <c r="B1185" s="2" t="s">
        <v>428</v>
      </c>
      <c r="C1185" s="2" t="s">
        <v>486</v>
      </c>
      <c r="D1185" s="2" t="s">
        <v>164</v>
      </c>
      <c r="E1185" s="2" t="s">
        <v>906</v>
      </c>
      <c r="F1185" s="3">
        <v>-0.49</v>
      </c>
    </row>
    <row r="1186" spans="1:6" ht="15" customHeight="1" x14ac:dyDescent="0.25">
      <c r="A1186" s="2" t="s">
        <v>84</v>
      </c>
      <c r="B1186" s="2" t="s">
        <v>428</v>
      </c>
      <c r="C1186" s="2" t="s">
        <v>484</v>
      </c>
      <c r="D1186" s="2" t="s">
        <v>164</v>
      </c>
      <c r="E1186" s="2" t="s">
        <v>1617</v>
      </c>
      <c r="F1186" s="3">
        <v>3.31</v>
      </c>
    </row>
    <row r="1187" spans="1:6" ht="15" customHeight="1" x14ac:dyDescent="0.25">
      <c r="A1187" s="2" t="s">
        <v>86</v>
      </c>
      <c r="B1187" s="2" t="s">
        <v>1618</v>
      </c>
      <c r="C1187" s="2" t="s">
        <v>484</v>
      </c>
      <c r="D1187" s="2" t="s">
        <v>140</v>
      </c>
      <c r="E1187" s="2" t="s">
        <v>1619</v>
      </c>
      <c r="F1187" s="3">
        <v>7.06</v>
      </c>
    </row>
    <row r="1188" spans="1:6" ht="15" customHeight="1" x14ac:dyDescent="0.25">
      <c r="A1188" s="2" t="s">
        <v>86</v>
      </c>
      <c r="B1188" s="2" t="s">
        <v>1618</v>
      </c>
      <c r="C1188" s="2" t="s">
        <v>486</v>
      </c>
      <c r="D1188" s="2" t="s">
        <v>140</v>
      </c>
      <c r="E1188" s="2" t="s">
        <v>905</v>
      </c>
      <c r="F1188" s="3">
        <v>-1.05</v>
      </c>
    </row>
    <row r="1189" spans="1:6" ht="15" customHeight="1" x14ac:dyDescent="0.25">
      <c r="A1189" s="2" t="s">
        <v>86</v>
      </c>
      <c r="B1189" s="2" t="s">
        <v>1618</v>
      </c>
      <c r="C1189" s="2" t="s">
        <v>484</v>
      </c>
      <c r="D1189" s="2" t="s">
        <v>158</v>
      </c>
      <c r="E1189" s="2" t="s">
        <v>1620</v>
      </c>
      <c r="F1189" s="3">
        <v>1.8</v>
      </c>
    </row>
    <row r="1190" spans="1:6" ht="15" customHeight="1" x14ac:dyDescent="0.25">
      <c r="A1190" s="2" t="s">
        <v>86</v>
      </c>
      <c r="B1190" s="2" t="s">
        <v>1618</v>
      </c>
      <c r="C1190" s="2" t="s">
        <v>486</v>
      </c>
      <c r="D1190" s="2" t="s">
        <v>158</v>
      </c>
      <c r="E1190" s="2" t="s">
        <v>801</v>
      </c>
      <c r="F1190" s="3">
        <v>-0.27</v>
      </c>
    </row>
    <row r="1191" spans="1:6" ht="15" customHeight="1" x14ac:dyDescent="0.25">
      <c r="A1191" s="2" t="s">
        <v>86</v>
      </c>
      <c r="B1191" s="2" t="s">
        <v>1618</v>
      </c>
      <c r="C1191" s="2" t="s">
        <v>484</v>
      </c>
      <c r="D1191" s="2" t="s">
        <v>132</v>
      </c>
      <c r="E1191" s="2" t="s">
        <v>1621</v>
      </c>
      <c r="F1191" s="3">
        <v>16.399999999999999</v>
      </c>
    </row>
    <row r="1192" spans="1:6" ht="15" customHeight="1" x14ac:dyDescent="0.25">
      <c r="A1192" s="2" t="s">
        <v>86</v>
      </c>
      <c r="B1192" s="2" t="s">
        <v>1618</v>
      </c>
      <c r="C1192" s="2" t="s">
        <v>486</v>
      </c>
      <c r="D1192" s="2" t="s">
        <v>132</v>
      </c>
      <c r="E1192" s="2" t="s">
        <v>1622</v>
      </c>
      <c r="F1192" s="3">
        <v>-2.46</v>
      </c>
    </row>
    <row r="1193" spans="1:6" ht="15" customHeight="1" x14ac:dyDescent="0.25">
      <c r="A1193" s="2" t="s">
        <v>86</v>
      </c>
      <c r="B1193" s="2" t="s">
        <v>1618</v>
      </c>
      <c r="C1193" s="2" t="s">
        <v>486</v>
      </c>
      <c r="D1193" s="2" t="s">
        <v>152</v>
      </c>
      <c r="E1193" s="2" t="s">
        <v>1623</v>
      </c>
      <c r="F1193" s="3">
        <v>-1.06</v>
      </c>
    </row>
    <row r="1194" spans="1:6" ht="15" customHeight="1" x14ac:dyDescent="0.25">
      <c r="A1194" s="2" t="s">
        <v>86</v>
      </c>
      <c r="B1194" s="2" t="s">
        <v>1618</v>
      </c>
      <c r="C1194" s="2" t="s">
        <v>484</v>
      </c>
      <c r="D1194" s="2" t="s">
        <v>152</v>
      </c>
      <c r="E1194" s="2" t="s">
        <v>1624</v>
      </c>
      <c r="F1194" s="3">
        <v>7.12</v>
      </c>
    </row>
    <row r="1195" spans="1:6" ht="15" customHeight="1" x14ac:dyDescent="0.25">
      <c r="A1195" s="2" t="s">
        <v>86</v>
      </c>
      <c r="B1195" s="2" t="s">
        <v>1618</v>
      </c>
      <c r="C1195" s="2" t="s">
        <v>484</v>
      </c>
      <c r="D1195" s="2" t="s">
        <v>145</v>
      </c>
      <c r="E1195" s="2" t="s">
        <v>1625</v>
      </c>
      <c r="F1195" s="3">
        <v>8.17</v>
      </c>
    </row>
    <row r="1196" spans="1:6" ht="15" customHeight="1" x14ac:dyDescent="0.25">
      <c r="A1196" s="2" t="s">
        <v>86</v>
      </c>
      <c r="B1196" s="2" t="s">
        <v>1618</v>
      </c>
      <c r="C1196" s="2" t="s">
        <v>486</v>
      </c>
      <c r="D1196" s="2" t="s">
        <v>145</v>
      </c>
      <c r="E1196" s="2" t="s">
        <v>1626</v>
      </c>
      <c r="F1196" s="3">
        <v>-1.22</v>
      </c>
    </row>
    <row r="1197" spans="1:6" ht="15" customHeight="1" x14ac:dyDescent="0.25">
      <c r="A1197" s="2" t="s">
        <v>86</v>
      </c>
      <c r="B1197" s="2" t="s">
        <v>1618</v>
      </c>
      <c r="C1197" s="2" t="s">
        <v>486</v>
      </c>
      <c r="D1197" s="2" t="s">
        <v>194</v>
      </c>
      <c r="E1197" s="2" t="s">
        <v>844</v>
      </c>
      <c r="F1197" s="3">
        <v>-0.97</v>
      </c>
    </row>
    <row r="1198" spans="1:6" ht="15" customHeight="1" x14ac:dyDescent="0.25">
      <c r="A1198" s="2" t="s">
        <v>86</v>
      </c>
      <c r="B1198" s="2" t="s">
        <v>1618</v>
      </c>
      <c r="C1198" s="2" t="s">
        <v>484</v>
      </c>
      <c r="D1198" s="2" t="s">
        <v>194</v>
      </c>
      <c r="E1198" s="2" t="s">
        <v>1627</v>
      </c>
      <c r="F1198" s="3">
        <v>6.51</v>
      </c>
    </row>
    <row r="1199" spans="1:6" ht="15" customHeight="1" x14ac:dyDescent="0.25">
      <c r="A1199" s="2" t="s">
        <v>86</v>
      </c>
      <c r="B1199" s="2" t="s">
        <v>432</v>
      </c>
      <c r="C1199" s="2" t="s">
        <v>486</v>
      </c>
      <c r="D1199" s="2" t="s">
        <v>127</v>
      </c>
      <c r="E1199" s="2" t="s">
        <v>1628</v>
      </c>
      <c r="F1199" s="3">
        <v>-1.92</v>
      </c>
    </row>
    <row r="1200" spans="1:6" ht="15" customHeight="1" x14ac:dyDescent="0.25">
      <c r="A1200" s="2" t="s">
        <v>86</v>
      </c>
      <c r="B1200" s="2" t="s">
        <v>432</v>
      </c>
      <c r="C1200" s="2" t="s">
        <v>484</v>
      </c>
      <c r="D1200" s="2" t="s">
        <v>127</v>
      </c>
      <c r="E1200" s="2" t="s">
        <v>1629</v>
      </c>
      <c r="F1200" s="3">
        <v>12.8</v>
      </c>
    </row>
    <row r="1201" spans="1:6" ht="15" customHeight="1" x14ac:dyDescent="0.25">
      <c r="A1201" s="2" t="s">
        <v>86</v>
      </c>
      <c r="B1201" s="2" t="s">
        <v>432</v>
      </c>
      <c r="C1201" s="2" t="s">
        <v>486</v>
      </c>
      <c r="D1201" s="2" t="s">
        <v>129</v>
      </c>
      <c r="E1201" s="2" t="s">
        <v>1630</v>
      </c>
      <c r="F1201" s="3">
        <v>-2.09</v>
      </c>
    </row>
    <row r="1202" spans="1:6" ht="15" customHeight="1" x14ac:dyDescent="0.25">
      <c r="A1202" s="2" t="s">
        <v>86</v>
      </c>
      <c r="B1202" s="2" t="s">
        <v>432</v>
      </c>
      <c r="C1202" s="2" t="s">
        <v>484</v>
      </c>
      <c r="D1202" s="2" t="s">
        <v>129</v>
      </c>
      <c r="E1202" s="2" t="s">
        <v>1631</v>
      </c>
      <c r="F1202" s="3">
        <v>13.97</v>
      </c>
    </row>
    <row r="1203" spans="1:6" ht="15" customHeight="1" x14ac:dyDescent="0.25">
      <c r="A1203" s="2" t="s">
        <v>86</v>
      </c>
      <c r="B1203" s="2" t="s">
        <v>432</v>
      </c>
      <c r="C1203" s="2" t="s">
        <v>486</v>
      </c>
      <c r="D1203" s="2" t="s">
        <v>218</v>
      </c>
      <c r="E1203" s="2" t="s">
        <v>1632</v>
      </c>
      <c r="F1203" s="3">
        <v>-0.71</v>
      </c>
    </row>
    <row r="1204" spans="1:6" ht="15" customHeight="1" x14ac:dyDescent="0.25">
      <c r="A1204" s="2" t="s">
        <v>86</v>
      </c>
      <c r="B1204" s="2" t="s">
        <v>432</v>
      </c>
      <c r="C1204" s="2" t="s">
        <v>484</v>
      </c>
      <c r="D1204" s="2" t="s">
        <v>218</v>
      </c>
      <c r="E1204" s="2" t="s">
        <v>1633</v>
      </c>
      <c r="F1204" s="3">
        <v>4.79</v>
      </c>
    </row>
    <row r="1205" spans="1:6" ht="15" customHeight="1" x14ac:dyDescent="0.25">
      <c r="A1205" s="2" t="s">
        <v>86</v>
      </c>
      <c r="B1205" s="2" t="s">
        <v>433</v>
      </c>
      <c r="C1205" s="2" t="s">
        <v>486</v>
      </c>
      <c r="D1205" s="2" t="s">
        <v>166</v>
      </c>
      <c r="E1205" s="2" t="s">
        <v>1634</v>
      </c>
      <c r="F1205" s="3">
        <v>-0.42</v>
      </c>
    </row>
    <row r="1206" spans="1:6" ht="15" customHeight="1" x14ac:dyDescent="0.25">
      <c r="A1206" s="2" t="s">
        <v>86</v>
      </c>
      <c r="B1206" s="2" t="s">
        <v>433</v>
      </c>
      <c r="C1206" s="2" t="s">
        <v>484</v>
      </c>
      <c r="D1206" s="2" t="s">
        <v>166</v>
      </c>
      <c r="E1206" s="2" t="s">
        <v>1635</v>
      </c>
      <c r="F1206" s="3">
        <v>2.83</v>
      </c>
    </row>
    <row r="1207" spans="1:6" ht="15" customHeight="1" x14ac:dyDescent="0.25">
      <c r="A1207" s="2" t="s">
        <v>86</v>
      </c>
      <c r="B1207" s="2" t="s">
        <v>433</v>
      </c>
      <c r="C1207" s="2" t="s">
        <v>486</v>
      </c>
      <c r="D1207" s="2" t="s">
        <v>115</v>
      </c>
      <c r="E1207" s="2" t="s">
        <v>802</v>
      </c>
      <c r="F1207" s="3">
        <v>-3.1</v>
      </c>
    </row>
    <row r="1208" spans="1:6" ht="15" customHeight="1" x14ac:dyDescent="0.25">
      <c r="A1208" s="2" t="s">
        <v>86</v>
      </c>
      <c r="B1208" s="2" t="s">
        <v>433</v>
      </c>
      <c r="C1208" s="2" t="s">
        <v>484</v>
      </c>
      <c r="D1208" s="2" t="s">
        <v>115</v>
      </c>
      <c r="E1208" s="2" t="s">
        <v>1636</v>
      </c>
      <c r="F1208" s="3">
        <v>20.71</v>
      </c>
    </row>
    <row r="1209" spans="1:6" ht="15" customHeight="1" x14ac:dyDescent="0.25">
      <c r="A1209" s="2" t="s">
        <v>86</v>
      </c>
      <c r="B1209" s="2" t="s">
        <v>433</v>
      </c>
      <c r="C1209" s="2" t="s">
        <v>486</v>
      </c>
      <c r="D1209" s="2" t="s">
        <v>162</v>
      </c>
      <c r="E1209" s="2" t="s">
        <v>1596</v>
      </c>
      <c r="F1209" s="3">
        <v>-1.02</v>
      </c>
    </row>
    <row r="1210" spans="1:6" ht="15" customHeight="1" x14ac:dyDescent="0.25">
      <c r="A1210" s="2" t="s">
        <v>86</v>
      </c>
      <c r="B1210" s="2" t="s">
        <v>433</v>
      </c>
      <c r="C1210" s="2" t="s">
        <v>484</v>
      </c>
      <c r="D1210" s="2" t="s">
        <v>162</v>
      </c>
      <c r="E1210" s="2" t="s">
        <v>1637</v>
      </c>
      <c r="F1210" s="3">
        <v>6.83</v>
      </c>
    </row>
    <row r="1211" spans="1:6" ht="15" customHeight="1" x14ac:dyDescent="0.25">
      <c r="A1211" s="2" t="s">
        <v>86</v>
      </c>
      <c r="B1211" s="2" t="s">
        <v>433</v>
      </c>
      <c r="C1211" s="2" t="s">
        <v>484</v>
      </c>
      <c r="D1211" s="2" t="s">
        <v>119</v>
      </c>
      <c r="E1211" s="2" t="s">
        <v>1638</v>
      </c>
      <c r="F1211" s="3">
        <v>14.31</v>
      </c>
    </row>
    <row r="1212" spans="1:6" ht="15" customHeight="1" x14ac:dyDescent="0.25">
      <c r="A1212" s="2" t="s">
        <v>86</v>
      </c>
      <c r="B1212" s="2" t="s">
        <v>433</v>
      </c>
      <c r="C1212" s="2" t="s">
        <v>486</v>
      </c>
      <c r="D1212" s="2" t="s">
        <v>119</v>
      </c>
      <c r="E1212" s="2" t="s">
        <v>1639</v>
      </c>
      <c r="F1212" s="3">
        <v>-2.14</v>
      </c>
    </row>
    <row r="1213" spans="1:6" ht="15" customHeight="1" x14ac:dyDescent="0.25">
      <c r="A1213" s="2" t="s">
        <v>86</v>
      </c>
      <c r="B1213" s="2" t="s">
        <v>433</v>
      </c>
      <c r="C1213" s="2" t="s">
        <v>484</v>
      </c>
      <c r="D1213" s="2" t="s">
        <v>164</v>
      </c>
      <c r="E1213" s="2" t="s">
        <v>1640</v>
      </c>
      <c r="F1213" s="3">
        <v>3.15</v>
      </c>
    </row>
    <row r="1214" spans="1:6" ht="15" customHeight="1" x14ac:dyDescent="0.25">
      <c r="A1214" s="2" t="s">
        <v>86</v>
      </c>
      <c r="B1214" s="2" t="s">
        <v>433</v>
      </c>
      <c r="C1214" s="2" t="s">
        <v>486</v>
      </c>
      <c r="D1214" s="2" t="s">
        <v>164</v>
      </c>
      <c r="E1214" s="2" t="s">
        <v>1641</v>
      </c>
      <c r="F1214" s="3">
        <v>-0.47</v>
      </c>
    </row>
    <row r="1215" spans="1:6" ht="15" customHeight="1" x14ac:dyDescent="0.25">
      <c r="A1215" s="2" t="s">
        <v>86</v>
      </c>
      <c r="B1215" s="2" t="s">
        <v>1642</v>
      </c>
      <c r="C1215" s="2" t="s">
        <v>484</v>
      </c>
      <c r="D1215" s="2" t="s">
        <v>140</v>
      </c>
      <c r="E1215" s="2" t="s">
        <v>1643</v>
      </c>
      <c r="F1215" s="3">
        <v>12.17</v>
      </c>
    </row>
    <row r="1216" spans="1:6" ht="15" customHeight="1" x14ac:dyDescent="0.25">
      <c r="A1216" s="2" t="s">
        <v>86</v>
      </c>
      <c r="B1216" s="2" t="s">
        <v>1642</v>
      </c>
      <c r="C1216" s="2" t="s">
        <v>486</v>
      </c>
      <c r="D1216" s="2" t="s">
        <v>140</v>
      </c>
      <c r="E1216" s="2" t="s">
        <v>1644</v>
      </c>
      <c r="F1216" s="3">
        <v>-1.82</v>
      </c>
    </row>
    <row r="1217" spans="1:6" ht="15" customHeight="1" x14ac:dyDescent="0.25">
      <c r="A1217" s="2" t="s">
        <v>86</v>
      </c>
      <c r="B1217" s="2" t="s">
        <v>1642</v>
      </c>
      <c r="C1217" s="2" t="s">
        <v>486</v>
      </c>
      <c r="D1217" s="2" t="s">
        <v>158</v>
      </c>
      <c r="E1217" s="2" t="s">
        <v>1495</v>
      </c>
      <c r="F1217" s="3">
        <v>-0.77</v>
      </c>
    </row>
    <row r="1218" spans="1:6" ht="15" customHeight="1" x14ac:dyDescent="0.25">
      <c r="A1218" s="2" t="s">
        <v>86</v>
      </c>
      <c r="B1218" s="2" t="s">
        <v>1642</v>
      </c>
      <c r="C1218" s="2" t="s">
        <v>484</v>
      </c>
      <c r="D1218" s="2" t="s">
        <v>158</v>
      </c>
      <c r="E1218" s="2" t="s">
        <v>1645</v>
      </c>
      <c r="F1218" s="3">
        <v>5.14</v>
      </c>
    </row>
    <row r="1219" spans="1:6" ht="15" customHeight="1" x14ac:dyDescent="0.25">
      <c r="A1219" s="2" t="s">
        <v>86</v>
      </c>
      <c r="B1219" s="2" t="s">
        <v>1642</v>
      </c>
      <c r="C1219" s="2" t="s">
        <v>486</v>
      </c>
      <c r="D1219" s="2" t="s">
        <v>132</v>
      </c>
      <c r="E1219" s="2" t="s">
        <v>1646</v>
      </c>
      <c r="F1219" s="3">
        <v>-2.7</v>
      </c>
    </row>
    <row r="1220" spans="1:6" ht="15" customHeight="1" x14ac:dyDescent="0.25">
      <c r="A1220" s="2" t="s">
        <v>86</v>
      </c>
      <c r="B1220" s="2" t="s">
        <v>1642</v>
      </c>
      <c r="C1220" s="2" t="s">
        <v>484</v>
      </c>
      <c r="D1220" s="2" t="s">
        <v>132</v>
      </c>
      <c r="E1220" s="2" t="s">
        <v>1647</v>
      </c>
      <c r="F1220" s="3">
        <v>18.059999999999999</v>
      </c>
    </row>
    <row r="1221" spans="1:6" ht="15" customHeight="1" x14ac:dyDescent="0.25">
      <c r="A1221" s="2" t="s">
        <v>86</v>
      </c>
      <c r="B1221" s="2" t="s">
        <v>1642</v>
      </c>
      <c r="C1221" s="2" t="s">
        <v>484</v>
      </c>
      <c r="D1221" s="2" t="s">
        <v>143</v>
      </c>
      <c r="E1221" s="2" t="s">
        <v>1648</v>
      </c>
      <c r="F1221" s="3">
        <v>10.87</v>
      </c>
    </row>
    <row r="1222" spans="1:6" ht="15" customHeight="1" x14ac:dyDescent="0.25">
      <c r="A1222" s="2" t="s">
        <v>86</v>
      </c>
      <c r="B1222" s="2" t="s">
        <v>1642</v>
      </c>
      <c r="C1222" s="2" t="s">
        <v>486</v>
      </c>
      <c r="D1222" s="2" t="s">
        <v>143</v>
      </c>
      <c r="E1222" s="2" t="s">
        <v>1649</v>
      </c>
      <c r="F1222" s="3">
        <v>-1.63</v>
      </c>
    </row>
    <row r="1223" spans="1:6" ht="15" customHeight="1" x14ac:dyDescent="0.25">
      <c r="A1223" s="2" t="s">
        <v>86</v>
      </c>
      <c r="B1223" s="2" t="s">
        <v>1642</v>
      </c>
      <c r="C1223" s="2" t="s">
        <v>486</v>
      </c>
      <c r="D1223" s="2" t="s">
        <v>185</v>
      </c>
      <c r="E1223" s="2" t="s">
        <v>1650</v>
      </c>
      <c r="F1223" s="3">
        <v>-0.23</v>
      </c>
    </row>
    <row r="1224" spans="1:6" ht="15" customHeight="1" x14ac:dyDescent="0.25">
      <c r="A1224" s="2" t="s">
        <v>86</v>
      </c>
      <c r="B1224" s="2" t="s">
        <v>1642</v>
      </c>
      <c r="C1224" s="2" t="s">
        <v>484</v>
      </c>
      <c r="D1224" s="2" t="s">
        <v>185</v>
      </c>
      <c r="E1224" s="2" t="s">
        <v>1651</v>
      </c>
      <c r="F1224" s="3">
        <v>1.54</v>
      </c>
    </row>
    <row r="1225" spans="1:6" ht="15" customHeight="1" x14ac:dyDescent="0.25">
      <c r="A1225" s="2" t="s">
        <v>86</v>
      </c>
      <c r="B1225" s="2" t="s">
        <v>1642</v>
      </c>
      <c r="C1225" s="2" t="s">
        <v>486</v>
      </c>
      <c r="D1225" s="2" t="s">
        <v>152</v>
      </c>
      <c r="E1225" s="2" t="s">
        <v>1394</v>
      </c>
      <c r="F1225" s="3">
        <v>-1.0900000000000001</v>
      </c>
    </row>
    <row r="1226" spans="1:6" ht="15" customHeight="1" x14ac:dyDescent="0.25">
      <c r="A1226" s="2" t="s">
        <v>86</v>
      </c>
      <c r="B1226" s="2" t="s">
        <v>1642</v>
      </c>
      <c r="C1226" s="2" t="s">
        <v>484</v>
      </c>
      <c r="D1226" s="2" t="s">
        <v>152</v>
      </c>
      <c r="E1226" s="2" t="s">
        <v>1652</v>
      </c>
      <c r="F1226" s="3">
        <v>7.31</v>
      </c>
    </row>
    <row r="1227" spans="1:6" ht="15" customHeight="1" x14ac:dyDescent="0.25">
      <c r="A1227" s="2" t="s">
        <v>86</v>
      </c>
      <c r="B1227" s="2" t="s">
        <v>1642</v>
      </c>
      <c r="C1227" s="2" t="s">
        <v>484</v>
      </c>
      <c r="D1227" s="2" t="s">
        <v>145</v>
      </c>
      <c r="E1227" s="2" t="s">
        <v>1653</v>
      </c>
      <c r="F1227" s="3">
        <v>8.25</v>
      </c>
    </row>
    <row r="1228" spans="1:6" ht="15" customHeight="1" x14ac:dyDescent="0.25">
      <c r="A1228" s="2" t="s">
        <v>86</v>
      </c>
      <c r="B1228" s="2" t="s">
        <v>1642</v>
      </c>
      <c r="C1228" s="2" t="s">
        <v>486</v>
      </c>
      <c r="D1228" s="2" t="s">
        <v>145</v>
      </c>
      <c r="E1228" s="2" t="s">
        <v>1654</v>
      </c>
      <c r="F1228" s="3">
        <v>-1.23</v>
      </c>
    </row>
    <row r="1229" spans="1:6" ht="15" customHeight="1" x14ac:dyDescent="0.25">
      <c r="A1229" s="2" t="s">
        <v>86</v>
      </c>
      <c r="B1229" s="2" t="s">
        <v>1642</v>
      </c>
      <c r="C1229" s="2" t="s">
        <v>484</v>
      </c>
      <c r="D1229" s="2" t="s">
        <v>194</v>
      </c>
      <c r="E1229" s="2" t="s">
        <v>1655</v>
      </c>
      <c r="F1229" s="3">
        <v>14.32</v>
      </c>
    </row>
    <row r="1230" spans="1:6" ht="15" customHeight="1" x14ac:dyDescent="0.25">
      <c r="A1230" s="2" t="s">
        <v>86</v>
      </c>
      <c r="B1230" s="2" t="s">
        <v>1642</v>
      </c>
      <c r="C1230" s="2" t="s">
        <v>486</v>
      </c>
      <c r="D1230" s="2" t="s">
        <v>194</v>
      </c>
      <c r="E1230" s="2" t="s">
        <v>1656</v>
      </c>
      <c r="F1230" s="3">
        <v>-2.14</v>
      </c>
    </row>
    <row r="1231" spans="1:6" ht="15" customHeight="1" x14ac:dyDescent="0.25">
      <c r="A1231" s="2" t="s">
        <v>86</v>
      </c>
      <c r="B1231" s="2" t="s">
        <v>434</v>
      </c>
      <c r="C1231" s="2" t="s">
        <v>486</v>
      </c>
      <c r="D1231" s="2" t="s">
        <v>183</v>
      </c>
      <c r="E1231" s="2" t="s">
        <v>767</v>
      </c>
      <c r="F1231" s="3">
        <v>-0.47</v>
      </c>
    </row>
    <row r="1232" spans="1:6" ht="15" customHeight="1" x14ac:dyDescent="0.25">
      <c r="A1232" s="2" t="s">
        <v>86</v>
      </c>
      <c r="B1232" s="2" t="s">
        <v>434</v>
      </c>
      <c r="C1232" s="2" t="s">
        <v>484</v>
      </c>
      <c r="D1232" s="2" t="s">
        <v>183</v>
      </c>
      <c r="E1232" s="2" t="s">
        <v>1657</v>
      </c>
      <c r="F1232" s="3">
        <v>3.16</v>
      </c>
    </row>
    <row r="1233" spans="1:6" ht="15" customHeight="1" x14ac:dyDescent="0.25">
      <c r="A1233" s="2" t="s">
        <v>86</v>
      </c>
      <c r="B1233" s="2" t="s">
        <v>1658</v>
      </c>
      <c r="C1233" s="2" t="s">
        <v>484</v>
      </c>
      <c r="D1233" s="2" t="s">
        <v>196</v>
      </c>
      <c r="E1233" s="2" t="s">
        <v>1659</v>
      </c>
      <c r="F1233" s="3">
        <v>4.07</v>
      </c>
    </row>
    <row r="1234" spans="1:6" ht="15" customHeight="1" x14ac:dyDescent="0.25">
      <c r="A1234" s="2" t="s">
        <v>86</v>
      </c>
      <c r="B1234" s="2" t="s">
        <v>1658</v>
      </c>
      <c r="C1234" s="2" t="s">
        <v>486</v>
      </c>
      <c r="D1234" s="2" t="s">
        <v>196</v>
      </c>
      <c r="E1234" s="2" t="s">
        <v>1081</v>
      </c>
      <c r="F1234" s="3">
        <v>-0.61</v>
      </c>
    </row>
    <row r="1235" spans="1:6" ht="15" customHeight="1" x14ac:dyDescent="0.25">
      <c r="A1235" s="2" t="s">
        <v>86</v>
      </c>
      <c r="B1235" s="2" t="s">
        <v>1660</v>
      </c>
      <c r="C1235" s="2" t="s">
        <v>486</v>
      </c>
      <c r="D1235" s="2" t="s">
        <v>215</v>
      </c>
      <c r="E1235" s="2" t="s">
        <v>1661</v>
      </c>
      <c r="F1235" s="3">
        <v>-1.87</v>
      </c>
    </row>
    <row r="1236" spans="1:6" ht="15" customHeight="1" x14ac:dyDescent="0.25">
      <c r="A1236" s="2" t="s">
        <v>86</v>
      </c>
      <c r="B1236" s="2" t="s">
        <v>1660</v>
      </c>
      <c r="C1236" s="2" t="s">
        <v>484</v>
      </c>
      <c r="D1236" s="2" t="s">
        <v>215</v>
      </c>
      <c r="E1236" s="2" t="s">
        <v>1662</v>
      </c>
      <c r="F1236" s="3">
        <v>12.5</v>
      </c>
    </row>
    <row r="1237" spans="1:6" ht="15" customHeight="1" x14ac:dyDescent="0.25">
      <c r="A1237" s="2" t="s">
        <v>86</v>
      </c>
      <c r="B1237" s="2" t="s">
        <v>1660</v>
      </c>
      <c r="C1237" s="2" t="s">
        <v>484</v>
      </c>
      <c r="D1237" s="2" t="s">
        <v>179</v>
      </c>
      <c r="E1237" s="2" t="s">
        <v>1663</v>
      </c>
      <c r="F1237" s="3">
        <v>27.75</v>
      </c>
    </row>
    <row r="1238" spans="1:6" ht="15" customHeight="1" x14ac:dyDescent="0.25">
      <c r="A1238" s="2" t="s">
        <v>86</v>
      </c>
      <c r="B1238" s="2" t="s">
        <v>1660</v>
      </c>
      <c r="C1238" s="2" t="s">
        <v>486</v>
      </c>
      <c r="D1238" s="2" t="s">
        <v>179</v>
      </c>
      <c r="E1238" s="2" t="s">
        <v>1664</v>
      </c>
      <c r="F1238" s="3">
        <v>-4.16</v>
      </c>
    </row>
    <row r="1239" spans="1:6" ht="15" customHeight="1" x14ac:dyDescent="0.25">
      <c r="A1239" s="2" t="s">
        <v>86</v>
      </c>
      <c r="B1239" s="2" t="s">
        <v>1660</v>
      </c>
      <c r="C1239" s="2" t="s">
        <v>486</v>
      </c>
      <c r="D1239" s="2" t="s">
        <v>164</v>
      </c>
      <c r="E1239" s="2" t="s">
        <v>1665</v>
      </c>
      <c r="F1239" s="3">
        <v>-0.56000000000000005</v>
      </c>
    </row>
    <row r="1240" spans="1:6" ht="15" customHeight="1" x14ac:dyDescent="0.25">
      <c r="A1240" s="2" t="s">
        <v>86</v>
      </c>
      <c r="B1240" s="2" t="s">
        <v>1660</v>
      </c>
      <c r="C1240" s="2" t="s">
        <v>484</v>
      </c>
      <c r="D1240" s="2" t="s">
        <v>164</v>
      </c>
      <c r="E1240" s="2" t="s">
        <v>1666</v>
      </c>
      <c r="F1240" s="3">
        <v>3.74</v>
      </c>
    </row>
    <row r="1241" spans="1:6" ht="15" customHeight="1" x14ac:dyDescent="0.25">
      <c r="A1241" s="2" t="s">
        <v>86</v>
      </c>
      <c r="B1241" s="2" t="s">
        <v>1667</v>
      </c>
      <c r="C1241" s="2" t="s">
        <v>484</v>
      </c>
      <c r="D1241" s="2" t="s">
        <v>140</v>
      </c>
      <c r="E1241" s="2" t="s">
        <v>1668</v>
      </c>
      <c r="F1241" s="3">
        <v>4.2</v>
      </c>
    </row>
    <row r="1242" spans="1:6" ht="15" customHeight="1" x14ac:dyDescent="0.25">
      <c r="A1242" s="2" t="s">
        <v>86</v>
      </c>
      <c r="B1242" s="2" t="s">
        <v>1667</v>
      </c>
      <c r="C1242" s="2" t="s">
        <v>486</v>
      </c>
      <c r="D1242" s="2" t="s">
        <v>140</v>
      </c>
      <c r="E1242" s="2" t="s">
        <v>527</v>
      </c>
      <c r="F1242" s="3">
        <v>-0.63</v>
      </c>
    </row>
    <row r="1243" spans="1:6" ht="15" customHeight="1" x14ac:dyDescent="0.25">
      <c r="A1243" s="2" t="s">
        <v>86</v>
      </c>
      <c r="B1243" s="2" t="s">
        <v>1667</v>
      </c>
      <c r="C1243" s="2" t="s">
        <v>486</v>
      </c>
      <c r="D1243" s="2" t="s">
        <v>158</v>
      </c>
      <c r="E1243" s="2" t="s">
        <v>1669</v>
      </c>
      <c r="F1243" s="3">
        <v>-0.36</v>
      </c>
    </row>
    <row r="1244" spans="1:6" ht="15" customHeight="1" x14ac:dyDescent="0.25">
      <c r="A1244" s="2" t="s">
        <v>86</v>
      </c>
      <c r="B1244" s="2" t="s">
        <v>1667</v>
      </c>
      <c r="C1244" s="2" t="s">
        <v>484</v>
      </c>
      <c r="D1244" s="2" t="s">
        <v>158</v>
      </c>
      <c r="E1244" s="2" t="s">
        <v>1670</v>
      </c>
      <c r="F1244" s="3">
        <v>2.4500000000000002</v>
      </c>
    </row>
    <row r="1245" spans="1:6" ht="15" customHeight="1" x14ac:dyDescent="0.25">
      <c r="A1245" s="2" t="s">
        <v>86</v>
      </c>
      <c r="B1245" s="2" t="s">
        <v>1667</v>
      </c>
      <c r="C1245" s="2" t="s">
        <v>486</v>
      </c>
      <c r="D1245" s="2" t="s">
        <v>132</v>
      </c>
      <c r="E1245" s="2" t="s">
        <v>1671</v>
      </c>
      <c r="F1245" s="3">
        <v>-1.2</v>
      </c>
    </row>
    <row r="1246" spans="1:6" ht="15" customHeight="1" x14ac:dyDescent="0.25">
      <c r="A1246" s="2" t="s">
        <v>86</v>
      </c>
      <c r="B1246" s="2" t="s">
        <v>1667</v>
      </c>
      <c r="C1246" s="2" t="s">
        <v>484</v>
      </c>
      <c r="D1246" s="2" t="s">
        <v>132</v>
      </c>
      <c r="E1246" s="2" t="s">
        <v>1672</v>
      </c>
      <c r="F1246" s="3">
        <v>8.02</v>
      </c>
    </row>
    <row r="1247" spans="1:6" ht="15" customHeight="1" x14ac:dyDescent="0.25">
      <c r="A1247" s="2" t="s">
        <v>86</v>
      </c>
      <c r="B1247" s="2" t="s">
        <v>1667</v>
      </c>
      <c r="C1247" s="2" t="s">
        <v>484</v>
      </c>
      <c r="D1247" s="2" t="s">
        <v>145</v>
      </c>
      <c r="E1247" s="2" t="s">
        <v>1673</v>
      </c>
      <c r="F1247" s="3">
        <v>7.95</v>
      </c>
    </row>
    <row r="1248" spans="1:6" ht="15" customHeight="1" x14ac:dyDescent="0.25">
      <c r="A1248" s="2" t="s">
        <v>86</v>
      </c>
      <c r="B1248" s="2" t="s">
        <v>1667</v>
      </c>
      <c r="C1248" s="2" t="s">
        <v>486</v>
      </c>
      <c r="D1248" s="2" t="s">
        <v>145</v>
      </c>
      <c r="E1248" s="2" t="s">
        <v>1674</v>
      </c>
      <c r="F1248" s="3">
        <v>-1.19</v>
      </c>
    </row>
    <row r="1249" spans="1:6" ht="15" customHeight="1" x14ac:dyDescent="0.25">
      <c r="A1249" s="2" t="s">
        <v>86</v>
      </c>
      <c r="B1249" s="2" t="s">
        <v>1667</v>
      </c>
      <c r="C1249" s="2" t="s">
        <v>484</v>
      </c>
      <c r="D1249" s="2" t="s">
        <v>152</v>
      </c>
      <c r="E1249" s="2" t="s">
        <v>1675</v>
      </c>
      <c r="F1249" s="3">
        <v>6.95</v>
      </c>
    </row>
    <row r="1250" spans="1:6" ht="15" customHeight="1" x14ac:dyDescent="0.25">
      <c r="A1250" s="2" t="s">
        <v>86</v>
      </c>
      <c r="B1250" s="2" t="s">
        <v>1667</v>
      </c>
      <c r="C1250" s="2" t="s">
        <v>486</v>
      </c>
      <c r="D1250" s="2" t="s">
        <v>152</v>
      </c>
      <c r="E1250" s="2" t="s">
        <v>1676</v>
      </c>
      <c r="F1250" s="3">
        <v>-1.04</v>
      </c>
    </row>
    <row r="1251" spans="1:6" ht="15" customHeight="1" x14ac:dyDescent="0.25">
      <c r="A1251" s="2" t="s">
        <v>86</v>
      </c>
      <c r="B1251" s="2" t="s">
        <v>1667</v>
      </c>
      <c r="C1251" s="2" t="s">
        <v>486</v>
      </c>
      <c r="D1251" s="2" t="s">
        <v>194</v>
      </c>
      <c r="E1251" s="2" t="s">
        <v>1583</v>
      </c>
      <c r="F1251" s="3">
        <v>-1.01</v>
      </c>
    </row>
    <row r="1252" spans="1:6" ht="15" customHeight="1" x14ac:dyDescent="0.25">
      <c r="A1252" s="2" t="s">
        <v>86</v>
      </c>
      <c r="B1252" s="2" t="s">
        <v>1667</v>
      </c>
      <c r="C1252" s="2" t="s">
        <v>484</v>
      </c>
      <c r="D1252" s="2" t="s">
        <v>194</v>
      </c>
      <c r="E1252" s="2" t="s">
        <v>1677</v>
      </c>
      <c r="F1252" s="3">
        <v>6.76</v>
      </c>
    </row>
    <row r="1253" spans="1:6" ht="15" customHeight="1" x14ac:dyDescent="0.25">
      <c r="A1253" s="2" t="s">
        <v>86</v>
      </c>
      <c r="B1253" s="2" t="s">
        <v>437</v>
      </c>
      <c r="C1253" s="2" t="s">
        <v>484</v>
      </c>
      <c r="D1253" s="2" t="s">
        <v>173</v>
      </c>
      <c r="E1253" s="2" t="s">
        <v>1678</v>
      </c>
      <c r="F1253" s="3">
        <v>1.61</v>
      </c>
    </row>
    <row r="1254" spans="1:6" ht="15" customHeight="1" x14ac:dyDescent="0.25">
      <c r="A1254" s="2" t="s">
        <v>86</v>
      </c>
      <c r="B1254" s="2" t="s">
        <v>437</v>
      </c>
      <c r="C1254" s="2" t="s">
        <v>486</v>
      </c>
      <c r="D1254" s="2" t="s">
        <v>173</v>
      </c>
      <c r="E1254" s="2" t="s">
        <v>833</v>
      </c>
      <c r="F1254" s="3">
        <v>-0.24</v>
      </c>
    </row>
    <row r="1255" spans="1:6" ht="15" customHeight="1" x14ac:dyDescent="0.25">
      <c r="A1255" s="2" t="s">
        <v>86</v>
      </c>
      <c r="B1255" s="2" t="s">
        <v>437</v>
      </c>
      <c r="C1255" s="2" t="s">
        <v>484</v>
      </c>
      <c r="D1255" s="2" t="s">
        <v>154</v>
      </c>
      <c r="E1255" s="2" t="s">
        <v>1679</v>
      </c>
      <c r="F1255" s="3">
        <v>1.34</v>
      </c>
    </row>
    <row r="1256" spans="1:6" ht="15" customHeight="1" x14ac:dyDescent="0.25">
      <c r="A1256" s="2" t="s">
        <v>86</v>
      </c>
      <c r="B1256" s="2" t="s">
        <v>437</v>
      </c>
      <c r="C1256" s="2" t="s">
        <v>486</v>
      </c>
      <c r="D1256" s="2" t="s">
        <v>154</v>
      </c>
      <c r="E1256" s="2" t="s">
        <v>1578</v>
      </c>
      <c r="F1256" s="3">
        <v>-0.2</v>
      </c>
    </row>
    <row r="1257" spans="1:6" ht="15" customHeight="1" x14ac:dyDescent="0.25">
      <c r="A1257" s="2" t="s">
        <v>86</v>
      </c>
      <c r="B1257" s="2" t="s">
        <v>437</v>
      </c>
      <c r="C1257" s="2" t="s">
        <v>486</v>
      </c>
      <c r="D1257" s="2" t="s">
        <v>247</v>
      </c>
      <c r="E1257" s="2" t="s">
        <v>1680</v>
      </c>
      <c r="F1257" s="3">
        <v>-0.05</v>
      </c>
    </row>
    <row r="1258" spans="1:6" ht="15" customHeight="1" x14ac:dyDescent="0.25">
      <c r="A1258" s="2" t="s">
        <v>86</v>
      </c>
      <c r="B1258" s="2" t="s">
        <v>437</v>
      </c>
      <c r="C1258" s="2" t="s">
        <v>484</v>
      </c>
      <c r="D1258" s="2" t="s">
        <v>247</v>
      </c>
      <c r="E1258" s="2" t="s">
        <v>1681</v>
      </c>
      <c r="F1258" s="3">
        <v>0.39</v>
      </c>
    </row>
    <row r="1259" spans="1:6" ht="15" customHeight="1" x14ac:dyDescent="0.25">
      <c r="A1259" s="2" t="s">
        <v>86</v>
      </c>
      <c r="B1259" s="2" t="s">
        <v>437</v>
      </c>
      <c r="C1259" s="2" t="s">
        <v>486</v>
      </c>
      <c r="D1259" s="2" t="s">
        <v>213</v>
      </c>
      <c r="E1259" s="2" t="s">
        <v>1682</v>
      </c>
      <c r="F1259" s="3">
        <v>-0.56999999999999995</v>
      </c>
    </row>
    <row r="1260" spans="1:6" ht="15" customHeight="1" x14ac:dyDescent="0.25">
      <c r="A1260" s="2" t="s">
        <v>86</v>
      </c>
      <c r="B1260" s="2" t="s">
        <v>437</v>
      </c>
      <c r="C1260" s="2" t="s">
        <v>484</v>
      </c>
      <c r="D1260" s="2" t="s">
        <v>213</v>
      </c>
      <c r="E1260" s="2" t="s">
        <v>1683</v>
      </c>
      <c r="F1260" s="3">
        <v>3.84</v>
      </c>
    </row>
    <row r="1261" spans="1:6" ht="15" customHeight="1" x14ac:dyDescent="0.25">
      <c r="A1261" s="2" t="s">
        <v>86</v>
      </c>
      <c r="B1261" s="2" t="s">
        <v>1684</v>
      </c>
      <c r="C1261" s="2" t="s">
        <v>484</v>
      </c>
      <c r="D1261" s="2" t="s">
        <v>235</v>
      </c>
      <c r="E1261" s="2" t="s">
        <v>1685</v>
      </c>
      <c r="F1261" s="3">
        <v>1.58</v>
      </c>
    </row>
    <row r="1262" spans="1:6" ht="15" customHeight="1" x14ac:dyDescent="0.25">
      <c r="A1262" s="2" t="s">
        <v>86</v>
      </c>
      <c r="B1262" s="2" t="s">
        <v>1684</v>
      </c>
      <c r="C1262" s="2" t="s">
        <v>486</v>
      </c>
      <c r="D1262" s="2" t="s">
        <v>235</v>
      </c>
      <c r="E1262" s="2" t="s">
        <v>1686</v>
      </c>
      <c r="F1262" s="3">
        <v>-0.23</v>
      </c>
    </row>
    <row r="1263" spans="1:6" ht="15" customHeight="1" x14ac:dyDescent="0.25">
      <c r="A1263" s="2" t="s">
        <v>86</v>
      </c>
      <c r="B1263" s="2" t="s">
        <v>1687</v>
      </c>
      <c r="C1263" s="2" t="s">
        <v>484</v>
      </c>
      <c r="D1263" s="2" t="s">
        <v>225</v>
      </c>
      <c r="E1263" s="2" t="s">
        <v>1688</v>
      </c>
      <c r="F1263" s="3">
        <v>2.98</v>
      </c>
    </row>
    <row r="1264" spans="1:6" ht="15" customHeight="1" x14ac:dyDescent="0.25">
      <c r="A1264" s="2" t="s">
        <v>86</v>
      </c>
      <c r="B1264" s="2" t="s">
        <v>1687</v>
      </c>
      <c r="C1264" s="2" t="s">
        <v>486</v>
      </c>
      <c r="D1264" s="2" t="s">
        <v>225</v>
      </c>
      <c r="E1264" s="2" t="s">
        <v>1689</v>
      </c>
      <c r="F1264" s="3">
        <v>-0.44</v>
      </c>
    </row>
    <row r="1265" spans="1:6" ht="15" customHeight="1" x14ac:dyDescent="0.25">
      <c r="A1265" s="2" t="s">
        <v>86</v>
      </c>
      <c r="B1265" s="2" t="s">
        <v>1687</v>
      </c>
      <c r="C1265" s="2" t="s">
        <v>484</v>
      </c>
      <c r="D1265" s="2" t="s">
        <v>164</v>
      </c>
      <c r="E1265" s="2" t="s">
        <v>1690</v>
      </c>
      <c r="F1265" s="3">
        <v>4.04</v>
      </c>
    </row>
    <row r="1266" spans="1:6" ht="15" customHeight="1" x14ac:dyDescent="0.25">
      <c r="A1266" s="2" t="s">
        <v>86</v>
      </c>
      <c r="B1266" s="2" t="s">
        <v>1687</v>
      </c>
      <c r="C1266" s="2" t="s">
        <v>486</v>
      </c>
      <c r="D1266" s="2" t="s">
        <v>164</v>
      </c>
      <c r="E1266" s="2" t="s">
        <v>1691</v>
      </c>
      <c r="F1266" s="3">
        <v>-0.6</v>
      </c>
    </row>
    <row r="1267" spans="1:6" ht="15" customHeight="1" x14ac:dyDescent="0.25">
      <c r="A1267" s="2" t="s">
        <v>86</v>
      </c>
      <c r="B1267" s="2" t="s">
        <v>1692</v>
      </c>
      <c r="C1267" s="2" t="s">
        <v>484</v>
      </c>
      <c r="D1267" s="2" t="s">
        <v>140</v>
      </c>
      <c r="E1267" s="2" t="s">
        <v>1693</v>
      </c>
      <c r="F1267" s="3">
        <v>5.49</v>
      </c>
    </row>
    <row r="1268" spans="1:6" ht="15" customHeight="1" x14ac:dyDescent="0.25">
      <c r="A1268" s="2" t="s">
        <v>86</v>
      </c>
      <c r="B1268" s="2" t="s">
        <v>1692</v>
      </c>
      <c r="C1268" s="2" t="s">
        <v>486</v>
      </c>
      <c r="D1268" s="2" t="s">
        <v>140</v>
      </c>
      <c r="E1268" s="2" t="s">
        <v>1694</v>
      </c>
      <c r="F1268" s="3">
        <v>-0.82</v>
      </c>
    </row>
    <row r="1269" spans="1:6" ht="15" customHeight="1" x14ac:dyDescent="0.25">
      <c r="A1269" s="2" t="s">
        <v>86</v>
      </c>
      <c r="B1269" s="2" t="s">
        <v>1692</v>
      </c>
      <c r="C1269" s="2" t="s">
        <v>486</v>
      </c>
      <c r="D1269" s="2" t="s">
        <v>158</v>
      </c>
      <c r="E1269" s="2" t="s">
        <v>1480</v>
      </c>
      <c r="F1269" s="3">
        <v>-0.25</v>
      </c>
    </row>
    <row r="1270" spans="1:6" ht="15" customHeight="1" x14ac:dyDescent="0.25">
      <c r="A1270" s="2" t="s">
        <v>86</v>
      </c>
      <c r="B1270" s="2" t="s">
        <v>1692</v>
      </c>
      <c r="C1270" s="2" t="s">
        <v>484</v>
      </c>
      <c r="D1270" s="2" t="s">
        <v>158</v>
      </c>
      <c r="E1270" s="2" t="s">
        <v>1695</v>
      </c>
      <c r="F1270" s="3">
        <v>1.73</v>
      </c>
    </row>
    <row r="1271" spans="1:6" ht="15" customHeight="1" x14ac:dyDescent="0.25">
      <c r="A1271" s="2" t="s">
        <v>86</v>
      </c>
      <c r="B1271" s="2" t="s">
        <v>1692</v>
      </c>
      <c r="C1271" s="2" t="s">
        <v>486</v>
      </c>
      <c r="D1271" s="2" t="s">
        <v>132</v>
      </c>
      <c r="E1271" s="2" t="s">
        <v>1696</v>
      </c>
      <c r="F1271" s="3">
        <v>-1.01</v>
      </c>
    </row>
    <row r="1272" spans="1:6" ht="15" customHeight="1" x14ac:dyDescent="0.25">
      <c r="A1272" s="2" t="s">
        <v>86</v>
      </c>
      <c r="B1272" s="2" t="s">
        <v>1692</v>
      </c>
      <c r="C1272" s="2" t="s">
        <v>484</v>
      </c>
      <c r="D1272" s="2" t="s">
        <v>132</v>
      </c>
      <c r="E1272" s="2" t="s">
        <v>1697</v>
      </c>
      <c r="F1272" s="3">
        <v>6.79</v>
      </c>
    </row>
    <row r="1273" spans="1:6" ht="15" customHeight="1" x14ac:dyDescent="0.25">
      <c r="A1273" s="2" t="s">
        <v>86</v>
      </c>
      <c r="B1273" s="2" t="s">
        <v>1692</v>
      </c>
      <c r="C1273" s="2" t="s">
        <v>484</v>
      </c>
      <c r="D1273" s="2" t="s">
        <v>152</v>
      </c>
      <c r="E1273" s="2" t="s">
        <v>1698</v>
      </c>
      <c r="F1273" s="3">
        <v>4.59</v>
      </c>
    </row>
    <row r="1274" spans="1:6" ht="15" customHeight="1" x14ac:dyDescent="0.25">
      <c r="A1274" s="2" t="s">
        <v>86</v>
      </c>
      <c r="B1274" s="2" t="s">
        <v>1692</v>
      </c>
      <c r="C1274" s="2" t="s">
        <v>486</v>
      </c>
      <c r="D1274" s="2" t="s">
        <v>152</v>
      </c>
      <c r="E1274" s="2" t="s">
        <v>1205</v>
      </c>
      <c r="F1274" s="3">
        <v>-0.68</v>
      </c>
    </row>
    <row r="1275" spans="1:6" ht="15" customHeight="1" x14ac:dyDescent="0.25">
      <c r="A1275" s="2" t="s">
        <v>86</v>
      </c>
      <c r="B1275" s="2" t="s">
        <v>1692</v>
      </c>
      <c r="C1275" s="2" t="s">
        <v>486</v>
      </c>
      <c r="D1275" s="2" t="s">
        <v>113</v>
      </c>
      <c r="E1275" s="2" t="s">
        <v>1216</v>
      </c>
      <c r="F1275" s="3">
        <v>-0.11</v>
      </c>
    </row>
    <row r="1276" spans="1:6" ht="15" customHeight="1" x14ac:dyDescent="0.25">
      <c r="A1276" s="2" t="s">
        <v>86</v>
      </c>
      <c r="B1276" s="2" t="s">
        <v>1692</v>
      </c>
      <c r="C1276" s="2" t="s">
        <v>484</v>
      </c>
      <c r="D1276" s="2" t="s">
        <v>113</v>
      </c>
      <c r="E1276" s="2" t="s">
        <v>1699</v>
      </c>
      <c r="F1276" s="3">
        <v>0.79</v>
      </c>
    </row>
    <row r="1277" spans="1:6" ht="15" customHeight="1" x14ac:dyDescent="0.25">
      <c r="A1277" s="2" t="s">
        <v>86</v>
      </c>
      <c r="B1277" s="2" t="s">
        <v>1692</v>
      </c>
      <c r="C1277" s="2" t="s">
        <v>486</v>
      </c>
      <c r="D1277" s="2" t="s">
        <v>145</v>
      </c>
      <c r="E1277" s="2" t="s">
        <v>1309</v>
      </c>
      <c r="F1277" s="3">
        <v>-0.93</v>
      </c>
    </row>
    <row r="1278" spans="1:6" ht="15" customHeight="1" x14ac:dyDescent="0.25">
      <c r="A1278" s="2" t="s">
        <v>86</v>
      </c>
      <c r="B1278" s="2" t="s">
        <v>1692</v>
      </c>
      <c r="C1278" s="2" t="s">
        <v>484</v>
      </c>
      <c r="D1278" s="2" t="s">
        <v>145</v>
      </c>
      <c r="E1278" s="2" t="s">
        <v>1700</v>
      </c>
      <c r="F1278" s="3">
        <v>6.25</v>
      </c>
    </row>
    <row r="1279" spans="1:6" ht="15" customHeight="1" x14ac:dyDescent="0.25">
      <c r="A1279" s="2" t="s">
        <v>86</v>
      </c>
      <c r="B1279" s="2" t="s">
        <v>1692</v>
      </c>
      <c r="C1279" s="2" t="s">
        <v>486</v>
      </c>
      <c r="D1279" s="2" t="s">
        <v>194</v>
      </c>
      <c r="E1279" s="2" t="s">
        <v>1701</v>
      </c>
      <c r="F1279" s="3">
        <v>-0.78</v>
      </c>
    </row>
    <row r="1280" spans="1:6" ht="15" customHeight="1" x14ac:dyDescent="0.25">
      <c r="A1280" s="2" t="s">
        <v>86</v>
      </c>
      <c r="B1280" s="2" t="s">
        <v>1692</v>
      </c>
      <c r="C1280" s="2" t="s">
        <v>484</v>
      </c>
      <c r="D1280" s="2" t="s">
        <v>194</v>
      </c>
      <c r="E1280" s="2" t="s">
        <v>1702</v>
      </c>
      <c r="F1280" s="3">
        <v>5.21</v>
      </c>
    </row>
    <row r="1281" spans="1:6" ht="15" customHeight="1" x14ac:dyDescent="0.25">
      <c r="A1281" s="2" t="s">
        <v>86</v>
      </c>
      <c r="B1281" s="2" t="s">
        <v>438</v>
      </c>
      <c r="C1281" s="2" t="s">
        <v>484</v>
      </c>
      <c r="D1281" s="2" t="s">
        <v>162</v>
      </c>
      <c r="E1281" s="2" t="s">
        <v>1703</v>
      </c>
      <c r="F1281" s="3">
        <v>7.4</v>
      </c>
    </row>
    <row r="1282" spans="1:6" ht="15" customHeight="1" x14ac:dyDescent="0.25">
      <c r="A1282" s="2" t="s">
        <v>86</v>
      </c>
      <c r="B1282" s="2" t="s">
        <v>438</v>
      </c>
      <c r="C1282" s="2" t="s">
        <v>486</v>
      </c>
      <c r="D1282" s="2" t="s">
        <v>162</v>
      </c>
      <c r="E1282" s="2" t="s">
        <v>1704</v>
      </c>
      <c r="F1282" s="3">
        <v>-1.1100000000000001</v>
      </c>
    </row>
    <row r="1283" spans="1:6" ht="15" customHeight="1" x14ac:dyDescent="0.25">
      <c r="A1283" s="2" t="s">
        <v>86</v>
      </c>
      <c r="B1283" s="2" t="s">
        <v>1705</v>
      </c>
      <c r="C1283" s="2" t="s">
        <v>484</v>
      </c>
      <c r="D1283" s="2" t="s">
        <v>166</v>
      </c>
      <c r="E1283" s="2" t="s">
        <v>1706</v>
      </c>
      <c r="F1283" s="3">
        <v>3.15</v>
      </c>
    </row>
    <row r="1284" spans="1:6" ht="15" customHeight="1" x14ac:dyDescent="0.25">
      <c r="A1284" s="2" t="s">
        <v>86</v>
      </c>
      <c r="B1284" s="2" t="s">
        <v>1705</v>
      </c>
      <c r="C1284" s="2" t="s">
        <v>486</v>
      </c>
      <c r="D1284" s="2" t="s">
        <v>166</v>
      </c>
      <c r="E1284" s="2" t="s">
        <v>1641</v>
      </c>
      <c r="F1284" s="3">
        <v>-0.47</v>
      </c>
    </row>
    <row r="1285" spans="1:6" ht="15" customHeight="1" x14ac:dyDescent="0.25">
      <c r="A1285" s="2" t="s">
        <v>86</v>
      </c>
      <c r="B1285" s="2" t="s">
        <v>1705</v>
      </c>
      <c r="C1285" s="2" t="s">
        <v>484</v>
      </c>
      <c r="D1285" s="2" t="s">
        <v>115</v>
      </c>
      <c r="E1285" s="2" t="s">
        <v>1707</v>
      </c>
      <c r="F1285" s="3">
        <v>21.03</v>
      </c>
    </row>
    <row r="1286" spans="1:6" ht="15" customHeight="1" x14ac:dyDescent="0.25">
      <c r="A1286" s="2" t="s">
        <v>86</v>
      </c>
      <c r="B1286" s="2" t="s">
        <v>1705</v>
      </c>
      <c r="C1286" s="2" t="s">
        <v>486</v>
      </c>
      <c r="D1286" s="2" t="s">
        <v>115</v>
      </c>
      <c r="E1286" s="2" t="s">
        <v>1708</v>
      </c>
      <c r="F1286" s="3">
        <v>-3.15</v>
      </c>
    </row>
    <row r="1287" spans="1:6" ht="15" customHeight="1" x14ac:dyDescent="0.25">
      <c r="A1287" s="2" t="s">
        <v>86</v>
      </c>
      <c r="B1287" s="2" t="s">
        <v>1705</v>
      </c>
      <c r="C1287" s="2" t="s">
        <v>486</v>
      </c>
      <c r="D1287" s="2" t="s">
        <v>119</v>
      </c>
      <c r="E1287" s="2" t="s">
        <v>1709</v>
      </c>
      <c r="F1287" s="3">
        <v>-2.21</v>
      </c>
    </row>
    <row r="1288" spans="1:6" ht="15" customHeight="1" x14ac:dyDescent="0.25">
      <c r="A1288" s="2" t="s">
        <v>86</v>
      </c>
      <c r="B1288" s="2" t="s">
        <v>1705</v>
      </c>
      <c r="C1288" s="2" t="s">
        <v>484</v>
      </c>
      <c r="D1288" s="2" t="s">
        <v>119</v>
      </c>
      <c r="E1288" s="2" t="s">
        <v>1710</v>
      </c>
      <c r="F1288" s="3">
        <v>14.78</v>
      </c>
    </row>
    <row r="1289" spans="1:6" ht="15" customHeight="1" x14ac:dyDescent="0.25">
      <c r="A1289" s="2" t="s">
        <v>86</v>
      </c>
      <c r="B1289" s="2" t="s">
        <v>1711</v>
      </c>
      <c r="C1289" s="2" t="s">
        <v>484</v>
      </c>
      <c r="D1289" s="2" t="s">
        <v>170</v>
      </c>
      <c r="E1289" s="2" t="s">
        <v>1712</v>
      </c>
      <c r="F1289" s="3">
        <v>5.31</v>
      </c>
    </row>
    <row r="1290" spans="1:6" ht="15" customHeight="1" x14ac:dyDescent="0.25">
      <c r="A1290" s="2" t="s">
        <v>86</v>
      </c>
      <c r="B1290" s="2" t="s">
        <v>1711</v>
      </c>
      <c r="C1290" s="2" t="s">
        <v>486</v>
      </c>
      <c r="D1290" s="2" t="s">
        <v>170</v>
      </c>
      <c r="E1290" s="2" t="s">
        <v>1298</v>
      </c>
      <c r="F1290" s="3">
        <v>-0.79</v>
      </c>
    </row>
    <row r="1291" spans="1:6" ht="15" customHeight="1" x14ac:dyDescent="0.25">
      <c r="A1291" s="2" t="s">
        <v>86</v>
      </c>
      <c r="B1291" s="2" t="s">
        <v>1711</v>
      </c>
      <c r="C1291" s="2" t="s">
        <v>486</v>
      </c>
      <c r="D1291" s="2" t="s">
        <v>134</v>
      </c>
      <c r="E1291" s="2" t="s">
        <v>1713</v>
      </c>
      <c r="F1291" s="3">
        <v>-1.22</v>
      </c>
    </row>
    <row r="1292" spans="1:6" ht="15" customHeight="1" x14ac:dyDescent="0.25">
      <c r="A1292" s="2" t="s">
        <v>86</v>
      </c>
      <c r="B1292" s="2" t="s">
        <v>1711</v>
      </c>
      <c r="C1292" s="2" t="s">
        <v>484</v>
      </c>
      <c r="D1292" s="2" t="s">
        <v>134</v>
      </c>
      <c r="E1292" s="2" t="s">
        <v>1714</v>
      </c>
      <c r="F1292" s="3">
        <v>8.14</v>
      </c>
    </row>
    <row r="1293" spans="1:6" ht="15" customHeight="1" x14ac:dyDescent="0.25">
      <c r="A1293" s="2" t="s">
        <v>86</v>
      </c>
      <c r="B1293" s="2" t="s">
        <v>1711</v>
      </c>
      <c r="C1293" s="2" t="s">
        <v>486</v>
      </c>
      <c r="D1293" s="2" t="s">
        <v>136</v>
      </c>
      <c r="E1293" s="2" t="s">
        <v>1715</v>
      </c>
      <c r="F1293" s="3">
        <v>-0.84</v>
      </c>
    </row>
    <row r="1294" spans="1:6" ht="15" customHeight="1" x14ac:dyDescent="0.25">
      <c r="A1294" s="2" t="s">
        <v>86</v>
      </c>
      <c r="B1294" s="2" t="s">
        <v>1711</v>
      </c>
      <c r="C1294" s="2" t="s">
        <v>484</v>
      </c>
      <c r="D1294" s="2" t="s">
        <v>136</v>
      </c>
      <c r="E1294" s="2" t="s">
        <v>1716</v>
      </c>
      <c r="F1294" s="3">
        <v>5.66</v>
      </c>
    </row>
    <row r="1295" spans="1:6" ht="15" customHeight="1" x14ac:dyDescent="0.25">
      <c r="A1295" s="2" t="s">
        <v>86</v>
      </c>
      <c r="B1295" s="2" t="s">
        <v>1711</v>
      </c>
      <c r="C1295" s="2" t="s">
        <v>484</v>
      </c>
      <c r="D1295" s="2" t="s">
        <v>164</v>
      </c>
      <c r="E1295" s="2" t="s">
        <v>1717</v>
      </c>
      <c r="F1295" s="3">
        <v>3.09</v>
      </c>
    </row>
    <row r="1296" spans="1:6" ht="15" customHeight="1" x14ac:dyDescent="0.25">
      <c r="A1296" s="2" t="s">
        <v>86</v>
      </c>
      <c r="B1296" s="2" t="s">
        <v>1711</v>
      </c>
      <c r="C1296" s="2" t="s">
        <v>486</v>
      </c>
      <c r="D1296" s="2" t="s">
        <v>164</v>
      </c>
      <c r="E1296" s="2" t="s">
        <v>1718</v>
      </c>
      <c r="F1296" s="3">
        <v>-0.46</v>
      </c>
    </row>
    <row r="1297" spans="1:6" ht="15" customHeight="1" x14ac:dyDescent="0.25">
      <c r="A1297" s="2" t="s">
        <v>86</v>
      </c>
      <c r="B1297" s="2" t="s">
        <v>439</v>
      </c>
      <c r="C1297" s="2" t="s">
        <v>486</v>
      </c>
      <c r="D1297" s="2" t="s">
        <v>152</v>
      </c>
      <c r="E1297" s="2" t="s">
        <v>1448</v>
      </c>
      <c r="F1297" s="3">
        <v>-0.9</v>
      </c>
    </row>
    <row r="1298" spans="1:6" ht="15" customHeight="1" x14ac:dyDescent="0.25">
      <c r="A1298" s="2" t="s">
        <v>86</v>
      </c>
      <c r="B1298" s="2" t="s">
        <v>439</v>
      </c>
      <c r="C1298" s="2" t="s">
        <v>484</v>
      </c>
      <c r="D1298" s="2" t="s">
        <v>152</v>
      </c>
      <c r="E1298" s="2" t="s">
        <v>1719</v>
      </c>
      <c r="F1298" s="3">
        <v>6.05</v>
      </c>
    </row>
    <row r="1299" spans="1:6" ht="15" customHeight="1" x14ac:dyDescent="0.25">
      <c r="A1299" s="2" t="s">
        <v>86</v>
      </c>
      <c r="B1299" s="2" t="s">
        <v>439</v>
      </c>
      <c r="C1299" s="2" t="s">
        <v>484</v>
      </c>
      <c r="D1299" s="2" t="s">
        <v>158</v>
      </c>
      <c r="E1299" s="2" t="s">
        <v>1720</v>
      </c>
      <c r="F1299" s="3">
        <v>1.72</v>
      </c>
    </row>
    <row r="1300" spans="1:6" ht="15" customHeight="1" x14ac:dyDescent="0.25">
      <c r="A1300" s="2" t="s">
        <v>86</v>
      </c>
      <c r="B1300" s="2" t="s">
        <v>439</v>
      </c>
      <c r="C1300" s="2" t="s">
        <v>486</v>
      </c>
      <c r="D1300" s="2" t="s">
        <v>158</v>
      </c>
      <c r="E1300" s="2" t="s">
        <v>1721</v>
      </c>
      <c r="F1300" s="3">
        <v>-0.25</v>
      </c>
    </row>
    <row r="1301" spans="1:6" ht="15" customHeight="1" x14ac:dyDescent="0.25">
      <c r="A1301" s="2" t="s">
        <v>86</v>
      </c>
      <c r="B1301" s="2" t="s">
        <v>439</v>
      </c>
      <c r="C1301" s="2" t="s">
        <v>484</v>
      </c>
      <c r="D1301" s="2" t="s">
        <v>132</v>
      </c>
      <c r="E1301" s="2" t="s">
        <v>1722</v>
      </c>
      <c r="F1301" s="3">
        <v>6.43</v>
      </c>
    </row>
    <row r="1302" spans="1:6" ht="15" customHeight="1" x14ac:dyDescent="0.25">
      <c r="A1302" s="2" t="s">
        <v>86</v>
      </c>
      <c r="B1302" s="2" t="s">
        <v>439</v>
      </c>
      <c r="C1302" s="2" t="s">
        <v>486</v>
      </c>
      <c r="D1302" s="2" t="s">
        <v>132</v>
      </c>
      <c r="E1302" s="2" t="s">
        <v>1723</v>
      </c>
      <c r="F1302" s="3">
        <v>-0.96</v>
      </c>
    </row>
    <row r="1303" spans="1:6" ht="15" customHeight="1" x14ac:dyDescent="0.25">
      <c r="A1303" s="2" t="s">
        <v>86</v>
      </c>
      <c r="B1303" s="2" t="s">
        <v>439</v>
      </c>
      <c r="C1303" s="2" t="s">
        <v>484</v>
      </c>
      <c r="D1303" s="2" t="s">
        <v>143</v>
      </c>
      <c r="E1303" s="2" t="s">
        <v>1724</v>
      </c>
      <c r="F1303" s="3">
        <v>14</v>
      </c>
    </row>
    <row r="1304" spans="1:6" ht="15" customHeight="1" x14ac:dyDescent="0.25">
      <c r="A1304" s="2" t="s">
        <v>86</v>
      </c>
      <c r="B1304" s="2" t="s">
        <v>439</v>
      </c>
      <c r="C1304" s="2" t="s">
        <v>486</v>
      </c>
      <c r="D1304" s="2" t="s">
        <v>143</v>
      </c>
      <c r="E1304" s="2" t="s">
        <v>1725</v>
      </c>
      <c r="F1304" s="3">
        <v>-2.1</v>
      </c>
    </row>
    <row r="1305" spans="1:6" ht="15" customHeight="1" x14ac:dyDescent="0.25">
      <c r="A1305" s="2" t="s">
        <v>86</v>
      </c>
      <c r="B1305" s="2" t="s">
        <v>439</v>
      </c>
      <c r="C1305" s="2" t="s">
        <v>486</v>
      </c>
      <c r="D1305" s="2" t="s">
        <v>185</v>
      </c>
      <c r="E1305" s="2" t="s">
        <v>1726</v>
      </c>
      <c r="F1305" s="3">
        <v>-0.3</v>
      </c>
    </row>
    <row r="1306" spans="1:6" ht="15" customHeight="1" x14ac:dyDescent="0.25">
      <c r="A1306" s="2" t="s">
        <v>86</v>
      </c>
      <c r="B1306" s="2" t="s">
        <v>439</v>
      </c>
      <c r="C1306" s="2" t="s">
        <v>484</v>
      </c>
      <c r="D1306" s="2" t="s">
        <v>185</v>
      </c>
      <c r="E1306" s="2" t="s">
        <v>1727</v>
      </c>
      <c r="F1306" s="3">
        <v>2.04</v>
      </c>
    </row>
    <row r="1307" spans="1:6" ht="15" customHeight="1" x14ac:dyDescent="0.25">
      <c r="A1307" s="2" t="s">
        <v>86</v>
      </c>
      <c r="B1307" s="2" t="s">
        <v>439</v>
      </c>
      <c r="C1307" s="2" t="s">
        <v>486</v>
      </c>
      <c r="D1307" s="2" t="s">
        <v>244</v>
      </c>
      <c r="E1307" s="2" t="s">
        <v>1728</v>
      </c>
      <c r="F1307" s="3">
        <v>-7.0000000000000007E-2</v>
      </c>
    </row>
    <row r="1308" spans="1:6" ht="15" customHeight="1" x14ac:dyDescent="0.25">
      <c r="A1308" s="2" t="s">
        <v>86</v>
      </c>
      <c r="B1308" s="2" t="s">
        <v>439</v>
      </c>
      <c r="C1308" s="2" t="s">
        <v>484</v>
      </c>
      <c r="D1308" s="2" t="s">
        <v>244</v>
      </c>
      <c r="E1308" s="2" t="s">
        <v>1729</v>
      </c>
      <c r="F1308" s="3">
        <v>0.49</v>
      </c>
    </row>
    <row r="1309" spans="1:6" ht="15" customHeight="1" x14ac:dyDescent="0.25">
      <c r="A1309" s="2" t="s">
        <v>86</v>
      </c>
      <c r="B1309" s="2" t="s">
        <v>439</v>
      </c>
      <c r="C1309" s="2" t="s">
        <v>486</v>
      </c>
      <c r="D1309" s="2" t="s">
        <v>145</v>
      </c>
      <c r="E1309" s="2" t="s">
        <v>1730</v>
      </c>
      <c r="F1309" s="3">
        <v>-0.92</v>
      </c>
    </row>
    <row r="1310" spans="1:6" ht="15" customHeight="1" x14ac:dyDescent="0.25">
      <c r="A1310" s="2" t="s">
        <v>86</v>
      </c>
      <c r="B1310" s="2" t="s">
        <v>439</v>
      </c>
      <c r="C1310" s="2" t="s">
        <v>484</v>
      </c>
      <c r="D1310" s="2" t="s">
        <v>145</v>
      </c>
      <c r="E1310" s="2" t="s">
        <v>1731</v>
      </c>
      <c r="F1310" s="3">
        <v>6.15</v>
      </c>
    </row>
    <row r="1311" spans="1:6" ht="15" customHeight="1" x14ac:dyDescent="0.25">
      <c r="A1311" s="2" t="s">
        <v>86</v>
      </c>
      <c r="B1311" s="2" t="s">
        <v>439</v>
      </c>
      <c r="C1311" s="2" t="s">
        <v>486</v>
      </c>
      <c r="D1311" s="2" t="s">
        <v>194</v>
      </c>
      <c r="E1311" s="2" t="s">
        <v>1732</v>
      </c>
      <c r="F1311" s="3">
        <v>-1.78</v>
      </c>
    </row>
    <row r="1312" spans="1:6" ht="15" customHeight="1" x14ac:dyDescent="0.25">
      <c r="A1312" s="2" t="s">
        <v>86</v>
      </c>
      <c r="B1312" s="2" t="s">
        <v>439</v>
      </c>
      <c r="C1312" s="2" t="s">
        <v>484</v>
      </c>
      <c r="D1312" s="2" t="s">
        <v>194</v>
      </c>
      <c r="E1312" s="2" t="s">
        <v>1733</v>
      </c>
      <c r="F1312" s="3">
        <v>11.91</v>
      </c>
    </row>
    <row r="1313" spans="1:6" ht="15" customHeight="1" x14ac:dyDescent="0.25">
      <c r="A1313" s="2" t="s">
        <v>86</v>
      </c>
      <c r="B1313" s="2" t="s">
        <v>439</v>
      </c>
      <c r="C1313" s="2" t="s">
        <v>486</v>
      </c>
      <c r="D1313" s="2" t="s">
        <v>140</v>
      </c>
      <c r="E1313" s="2" t="s">
        <v>1734</v>
      </c>
      <c r="F1313" s="3">
        <v>-0.79</v>
      </c>
    </row>
    <row r="1314" spans="1:6" ht="15" customHeight="1" x14ac:dyDescent="0.25">
      <c r="A1314" s="2" t="s">
        <v>86</v>
      </c>
      <c r="B1314" s="2" t="s">
        <v>439</v>
      </c>
      <c r="C1314" s="2" t="s">
        <v>484</v>
      </c>
      <c r="D1314" s="2" t="s">
        <v>140</v>
      </c>
      <c r="E1314" s="2" t="s">
        <v>1735</v>
      </c>
      <c r="F1314" s="3">
        <v>5.32</v>
      </c>
    </row>
    <row r="1315" spans="1:6" ht="15" customHeight="1" x14ac:dyDescent="0.25">
      <c r="A1315" s="2" t="s">
        <v>86</v>
      </c>
      <c r="B1315" s="2" t="s">
        <v>1736</v>
      </c>
      <c r="C1315" s="2" t="s">
        <v>486</v>
      </c>
      <c r="D1315" s="2" t="s">
        <v>240</v>
      </c>
      <c r="E1315" s="2" t="s">
        <v>1737</v>
      </c>
      <c r="F1315" s="3">
        <v>-0.09</v>
      </c>
    </row>
    <row r="1316" spans="1:6" ht="15" customHeight="1" x14ac:dyDescent="0.25">
      <c r="A1316" s="2" t="s">
        <v>86</v>
      </c>
      <c r="B1316" s="2" t="s">
        <v>1736</v>
      </c>
      <c r="C1316" s="2" t="s">
        <v>484</v>
      </c>
      <c r="D1316" s="2" t="s">
        <v>240</v>
      </c>
      <c r="E1316" s="2" t="s">
        <v>1738</v>
      </c>
      <c r="F1316" s="3">
        <v>0.66</v>
      </c>
    </row>
    <row r="1317" spans="1:6" ht="15" customHeight="1" x14ac:dyDescent="0.25">
      <c r="A1317" s="2" t="s">
        <v>86</v>
      </c>
      <c r="B1317" s="2" t="s">
        <v>1736</v>
      </c>
      <c r="C1317" s="2" t="s">
        <v>484</v>
      </c>
      <c r="D1317" s="2" t="s">
        <v>127</v>
      </c>
      <c r="E1317" s="2" t="s">
        <v>1739</v>
      </c>
      <c r="F1317" s="3">
        <v>12.97</v>
      </c>
    </row>
    <row r="1318" spans="1:6" ht="15" customHeight="1" x14ac:dyDescent="0.25">
      <c r="A1318" s="2" t="s">
        <v>86</v>
      </c>
      <c r="B1318" s="2" t="s">
        <v>1736</v>
      </c>
      <c r="C1318" s="2" t="s">
        <v>486</v>
      </c>
      <c r="D1318" s="2" t="s">
        <v>127</v>
      </c>
      <c r="E1318" s="2" t="s">
        <v>1740</v>
      </c>
      <c r="F1318" s="3">
        <v>-1.94</v>
      </c>
    </row>
    <row r="1319" spans="1:6" ht="15" customHeight="1" x14ac:dyDescent="0.25">
      <c r="A1319" s="2" t="s">
        <v>86</v>
      </c>
      <c r="B1319" s="2" t="s">
        <v>1736</v>
      </c>
      <c r="C1319" s="2" t="s">
        <v>486</v>
      </c>
      <c r="D1319" s="2" t="s">
        <v>121</v>
      </c>
      <c r="E1319" s="2" t="s">
        <v>1741</v>
      </c>
      <c r="F1319" s="3">
        <v>-2.1800000000000002</v>
      </c>
    </row>
    <row r="1320" spans="1:6" ht="15" customHeight="1" x14ac:dyDescent="0.25">
      <c r="A1320" s="2" t="s">
        <v>86</v>
      </c>
      <c r="B1320" s="2" t="s">
        <v>1736</v>
      </c>
      <c r="C1320" s="2" t="s">
        <v>484</v>
      </c>
      <c r="D1320" s="2" t="s">
        <v>121</v>
      </c>
      <c r="E1320" s="2" t="s">
        <v>1742</v>
      </c>
      <c r="F1320" s="3">
        <v>14.56</v>
      </c>
    </row>
    <row r="1321" spans="1:6" ht="15" customHeight="1" x14ac:dyDescent="0.25">
      <c r="A1321" s="2" t="s">
        <v>86</v>
      </c>
      <c r="B1321" s="2" t="s">
        <v>1736</v>
      </c>
      <c r="C1321" s="2" t="s">
        <v>486</v>
      </c>
      <c r="D1321" s="2" t="s">
        <v>190</v>
      </c>
      <c r="E1321" s="2" t="s">
        <v>987</v>
      </c>
      <c r="F1321" s="3">
        <v>-0.62</v>
      </c>
    </row>
    <row r="1322" spans="1:6" ht="15" customHeight="1" x14ac:dyDescent="0.25">
      <c r="A1322" s="2" t="s">
        <v>86</v>
      </c>
      <c r="B1322" s="2" t="s">
        <v>1736</v>
      </c>
      <c r="C1322" s="2" t="s">
        <v>484</v>
      </c>
      <c r="D1322" s="2" t="s">
        <v>190</v>
      </c>
      <c r="E1322" s="2" t="s">
        <v>1743</v>
      </c>
      <c r="F1322" s="3">
        <v>4.1900000000000004</v>
      </c>
    </row>
    <row r="1323" spans="1:6" ht="15" customHeight="1" x14ac:dyDescent="0.25">
      <c r="A1323" s="2" t="s">
        <v>86</v>
      </c>
      <c r="B1323" s="2" t="s">
        <v>1736</v>
      </c>
      <c r="C1323" s="2" t="s">
        <v>484</v>
      </c>
      <c r="D1323" s="2" t="s">
        <v>121</v>
      </c>
      <c r="E1323" s="2" t="s">
        <v>1744</v>
      </c>
      <c r="F1323" s="3">
        <v>26.79</v>
      </c>
    </row>
    <row r="1324" spans="1:6" ht="15" customHeight="1" x14ac:dyDescent="0.25">
      <c r="A1324" s="2" t="s">
        <v>86</v>
      </c>
      <c r="B1324" s="2" t="s">
        <v>1736</v>
      </c>
      <c r="C1324" s="2" t="s">
        <v>486</v>
      </c>
      <c r="D1324" s="2" t="s">
        <v>121</v>
      </c>
      <c r="E1324" s="2" t="s">
        <v>1745</v>
      </c>
      <c r="F1324" s="3">
        <v>-4.01</v>
      </c>
    </row>
    <row r="1325" spans="1:6" ht="15" customHeight="1" x14ac:dyDescent="0.25">
      <c r="A1325" s="2" t="s">
        <v>88</v>
      </c>
      <c r="B1325" s="2" t="s">
        <v>1736</v>
      </c>
      <c r="C1325" s="2" t="s">
        <v>484</v>
      </c>
      <c r="D1325" s="2" t="s">
        <v>121</v>
      </c>
      <c r="E1325" s="2" t="s">
        <v>1746</v>
      </c>
      <c r="F1325" s="3">
        <v>12.24</v>
      </c>
    </row>
    <row r="1326" spans="1:6" ht="15" customHeight="1" x14ac:dyDescent="0.25">
      <c r="A1326" s="2" t="s">
        <v>88</v>
      </c>
      <c r="B1326" s="2" t="s">
        <v>1736</v>
      </c>
      <c r="C1326" s="2" t="s">
        <v>486</v>
      </c>
      <c r="D1326" s="2" t="s">
        <v>121</v>
      </c>
      <c r="E1326" s="2" t="s">
        <v>1747</v>
      </c>
      <c r="F1326" s="3">
        <v>-1.83</v>
      </c>
    </row>
    <row r="1327" spans="1:6" ht="15" customHeight="1" x14ac:dyDescent="0.25">
      <c r="A1327" s="2" t="s">
        <v>88</v>
      </c>
      <c r="B1327" s="2" t="s">
        <v>1736</v>
      </c>
      <c r="C1327" s="2" t="s">
        <v>486</v>
      </c>
      <c r="D1327" s="2" t="s">
        <v>121</v>
      </c>
      <c r="E1327" s="2" t="s">
        <v>1745</v>
      </c>
      <c r="F1327" s="3">
        <v>4.01</v>
      </c>
    </row>
    <row r="1328" spans="1:6" ht="15" customHeight="1" x14ac:dyDescent="0.25">
      <c r="A1328" s="2" t="s">
        <v>88</v>
      </c>
      <c r="B1328" s="2" t="s">
        <v>1736</v>
      </c>
      <c r="C1328" s="2" t="s">
        <v>484</v>
      </c>
      <c r="D1328" s="2" t="s">
        <v>121</v>
      </c>
      <c r="E1328" s="2" t="s">
        <v>1744</v>
      </c>
      <c r="F1328" s="3">
        <v>-26.79</v>
      </c>
    </row>
    <row r="1329" spans="1:6" ht="15" customHeight="1" x14ac:dyDescent="0.25">
      <c r="A1329" s="2" t="s">
        <v>88</v>
      </c>
      <c r="B1329" s="2" t="s">
        <v>440</v>
      </c>
      <c r="C1329" s="2" t="s">
        <v>486</v>
      </c>
      <c r="D1329" s="2" t="s">
        <v>164</v>
      </c>
      <c r="E1329" s="2" t="s">
        <v>1748</v>
      </c>
      <c r="F1329" s="3">
        <v>-0.52</v>
      </c>
    </row>
    <row r="1330" spans="1:6" ht="15" customHeight="1" x14ac:dyDescent="0.25">
      <c r="A1330" s="2" t="s">
        <v>88</v>
      </c>
      <c r="B1330" s="2" t="s">
        <v>440</v>
      </c>
      <c r="C1330" s="2" t="s">
        <v>484</v>
      </c>
      <c r="D1330" s="2" t="s">
        <v>164</v>
      </c>
      <c r="E1330" s="2" t="s">
        <v>1749</v>
      </c>
      <c r="F1330" s="3">
        <v>3.47</v>
      </c>
    </row>
    <row r="1331" spans="1:6" ht="15" customHeight="1" x14ac:dyDescent="0.25">
      <c r="A1331" s="2" t="s">
        <v>88</v>
      </c>
      <c r="B1331" s="2" t="s">
        <v>440</v>
      </c>
      <c r="C1331" s="2" t="s">
        <v>486</v>
      </c>
      <c r="D1331" s="2" t="s">
        <v>183</v>
      </c>
      <c r="E1331" s="2" t="s">
        <v>1750</v>
      </c>
      <c r="F1331" s="3">
        <v>-0.52</v>
      </c>
    </row>
    <row r="1332" spans="1:6" ht="15" customHeight="1" x14ac:dyDescent="0.25">
      <c r="A1332" s="2" t="s">
        <v>88</v>
      </c>
      <c r="B1332" s="2" t="s">
        <v>440</v>
      </c>
      <c r="C1332" s="2" t="s">
        <v>486</v>
      </c>
      <c r="D1332" s="2" t="s">
        <v>129</v>
      </c>
      <c r="E1332" s="2" t="s">
        <v>1293</v>
      </c>
      <c r="F1332" s="3">
        <v>-3.57</v>
      </c>
    </row>
    <row r="1333" spans="1:6" ht="15" customHeight="1" x14ac:dyDescent="0.25">
      <c r="A1333" s="2" t="s">
        <v>88</v>
      </c>
      <c r="B1333" s="2" t="s">
        <v>440</v>
      </c>
      <c r="C1333" s="2" t="s">
        <v>484</v>
      </c>
      <c r="D1333" s="2" t="s">
        <v>183</v>
      </c>
      <c r="E1333" s="2" t="s">
        <v>1751</v>
      </c>
      <c r="F1333" s="3">
        <v>3.51</v>
      </c>
    </row>
    <row r="1334" spans="1:6" ht="15" customHeight="1" x14ac:dyDescent="0.25">
      <c r="A1334" s="2" t="s">
        <v>88</v>
      </c>
      <c r="B1334" s="2" t="s">
        <v>440</v>
      </c>
      <c r="C1334" s="2" t="s">
        <v>484</v>
      </c>
      <c r="D1334" s="2" t="s">
        <v>129</v>
      </c>
      <c r="E1334" s="2" t="s">
        <v>1752</v>
      </c>
      <c r="F1334" s="3">
        <v>23.81</v>
      </c>
    </row>
    <row r="1335" spans="1:6" ht="15" customHeight="1" x14ac:dyDescent="0.25">
      <c r="A1335" s="2" t="s">
        <v>88</v>
      </c>
      <c r="B1335" s="2" t="s">
        <v>441</v>
      </c>
      <c r="C1335" s="2" t="s">
        <v>486</v>
      </c>
      <c r="D1335" s="2" t="s">
        <v>132</v>
      </c>
      <c r="E1335" s="2" t="s">
        <v>1080</v>
      </c>
      <c r="F1335" s="3">
        <v>-0.93</v>
      </c>
    </row>
    <row r="1336" spans="1:6" ht="15" customHeight="1" x14ac:dyDescent="0.25">
      <c r="A1336" s="2" t="s">
        <v>88</v>
      </c>
      <c r="B1336" s="2" t="s">
        <v>441</v>
      </c>
      <c r="C1336" s="2" t="s">
        <v>484</v>
      </c>
      <c r="D1336" s="2" t="s">
        <v>132</v>
      </c>
      <c r="E1336" s="2" t="s">
        <v>1753</v>
      </c>
      <c r="F1336" s="3">
        <v>6.26</v>
      </c>
    </row>
    <row r="1337" spans="1:6" ht="15" customHeight="1" x14ac:dyDescent="0.25">
      <c r="A1337" s="2" t="s">
        <v>88</v>
      </c>
      <c r="B1337" s="2" t="s">
        <v>441</v>
      </c>
      <c r="C1337" s="2" t="s">
        <v>484</v>
      </c>
      <c r="D1337" s="2" t="s">
        <v>152</v>
      </c>
      <c r="E1337" s="2" t="s">
        <v>1754</v>
      </c>
      <c r="F1337" s="3">
        <v>4.8499999999999996</v>
      </c>
    </row>
    <row r="1338" spans="1:6" ht="15" customHeight="1" x14ac:dyDescent="0.25">
      <c r="A1338" s="2" t="s">
        <v>88</v>
      </c>
      <c r="B1338" s="2" t="s">
        <v>441</v>
      </c>
      <c r="C1338" s="2" t="s">
        <v>486</v>
      </c>
      <c r="D1338" s="2" t="s">
        <v>152</v>
      </c>
      <c r="E1338" s="2" t="s">
        <v>1755</v>
      </c>
      <c r="F1338" s="3">
        <v>-0.72</v>
      </c>
    </row>
    <row r="1339" spans="1:6" ht="15" customHeight="1" x14ac:dyDescent="0.25">
      <c r="A1339" s="2" t="s">
        <v>88</v>
      </c>
      <c r="B1339" s="2" t="s">
        <v>441</v>
      </c>
      <c r="C1339" s="2" t="s">
        <v>486</v>
      </c>
      <c r="D1339" s="2" t="s">
        <v>145</v>
      </c>
      <c r="E1339" s="2" t="s">
        <v>1141</v>
      </c>
      <c r="F1339" s="3">
        <v>-1.1399999999999999</v>
      </c>
    </row>
    <row r="1340" spans="1:6" ht="15" customHeight="1" x14ac:dyDescent="0.25">
      <c r="A1340" s="2" t="s">
        <v>88</v>
      </c>
      <c r="B1340" s="2" t="s">
        <v>441</v>
      </c>
      <c r="C1340" s="2" t="s">
        <v>484</v>
      </c>
      <c r="D1340" s="2" t="s">
        <v>145</v>
      </c>
      <c r="E1340" s="2" t="s">
        <v>1756</v>
      </c>
      <c r="F1340" s="3">
        <v>7.64</v>
      </c>
    </row>
    <row r="1341" spans="1:6" ht="15" customHeight="1" x14ac:dyDescent="0.25">
      <c r="A1341" s="2" t="s">
        <v>88</v>
      </c>
      <c r="B1341" s="2" t="s">
        <v>441</v>
      </c>
      <c r="C1341" s="2" t="s">
        <v>486</v>
      </c>
      <c r="D1341" s="2" t="s">
        <v>194</v>
      </c>
      <c r="E1341" s="2" t="s">
        <v>1136</v>
      </c>
      <c r="F1341" s="3">
        <v>-0.92</v>
      </c>
    </row>
    <row r="1342" spans="1:6" ht="15" customHeight="1" x14ac:dyDescent="0.25">
      <c r="A1342" s="2" t="s">
        <v>88</v>
      </c>
      <c r="B1342" s="2" t="s">
        <v>441</v>
      </c>
      <c r="C1342" s="2" t="s">
        <v>484</v>
      </c>
      <c r="D1342" s="2" t="s">
        <v>194</v>
      </c>
      <c r="E1342" s="2" t="s">
        <v>1757</v>
      </c>
      <c r="F1342" s="3">
        <v>6.16</v>
      </c>
    </row>
    <row r="1343" spans="1:6" ht="15" customHeight="1" x14ac:dyDescent="0.25">
      <c r="A1343" s="2" t="s">
        <v>88</v>
      </c>
      <c r="B1343" s="2" t="s">
        <v>441</v>
      </c>
      <c r="C1343" s="2" t="s">
        <v>484</v>
      </c>
      <c r="D1343" s="2" t="s">
        <v>218</v>
      </c>
      <c r="E1343" s="2" t="s">
        <v>1758</v>
      </c>
      <c r="F1343" s="3">
        <v>5.9</v>
      </c>
    </row>
    <row r="1344" spans="1:6" ht="15" customHeight="1" x14ac:dyDescent="0.25">
      <c r="A1344" s="2" t="s">
        <v>88</v>
      </c>
      <c r="B1344" s="2" t="s">
        <v>441</v>
      </c>
      <c r="C1344" s="2" t="s">
        <v>486</v>
      </c>
      <c r="D1344" s="2" t="s">
        <v>218</v>
      </c>
      <c r="E1344" s="2" t="s">
        <v>1759</v>
      </c>
      <c r="F1344" s="3">
        <v>-0.88</v>
      </c>
    </row>
    <row r="1345" spans="1:6" ht="15" customHeight="1" x14ac:dyDescent="0.25">
      <c r="A1345" s="2" t="s">
        <v>88</v>
      </c>
      <c r="B1345" s="2" t="s">
        <v>441</v>
      </c>
      <c r="C1345" s="2" t="s">
        <v>484</v>
      </c>
      <c r="D1345" s="2" t="s">
        <v>158</v>
      </c>
      <c r="E1345" s="2" t="s">
        <v>1760</v>
      </c>
      <c r="F1345" s="3">
        <v>1.4</v>
      </c>
    </row>
    <row r="1346" spans="1:6" ht="15" customHeight="1" x14ac:dyDescent="0.25">
      <c r="A1346" s="2" t="s">
        <v>88</v>
      </c>
      <c r="B1346" s="2" t="s">
        <v>441</v>
      </c>
      <c r="C1346" s="2" t="s">
        <v>486</v>
      </c>
      <c r="D1346" s="2" t="s">
        <v>158</v>
      </c>
      <c r="E1346" s="2" t="s">
        <v>1761</v>
      </c>
      <c r="F1346" s="3">
        <v>-0.21</v>
      </c>
    </row>
    <row r="1347" spans="1:6" ht="15" customHeight="1" x14ac:dyDescent="0.25">
      <c r="A1347" s="2" t="s">
        <v>88</v>
      </c>
      <c r="B1347" s="2" t="s">
        <v>441</v>
      </c>
      <c r="C1347" s="2" t="s">
        <v>486</v>
      </c>
      <c r="D1347" s="2" t="s">
        <v>140</v>
      </c>
      <c r="E1347" s="2" t="s">
        <v>899</v>
      </c>
      <c r="F1347" s="3">
        <v>-0.7</v>
      </c>
    </row>
    <row r="1348" spans="1:6" ht="15" customHeight="1" x14ac:dyDescent="0.25">
      <c r="A1348" s="2" t="s">
        <v>88</v>
      </c>
      <c r="B1348" s="2" t="s">
        <v>441</v>
      </c>
      <c r="C1348" s="2" t="s">
        <v>484</v>
      </c>
      <c r="D1348" s="2" t="s">
        <v>140</v>
      </c>
      <c r="E1348" s="2" t="s">
        <v>1762</v>
      </c>
      <c r="F1348" s="3">
        <v>4.67</v>
      </c>
    </row>
    <row r="1349" spans="1:6" ht="15" customHeight="1" x14ac:dyDescent="0.25">
      <c r="A1349" s="2" t="s">
        <v>88</v>
      </c>
      <c r="B1349" s="2" t="s">
        <v>1763</v>
      </c>
      <c r="C1349" s="2" t="s">
        <v>486</v>
      </c>
      <c r="D1349" s="2" t="s">
        <v>196</v>
      </c>
      <c r="E1349" s="2" t="s">
        <v>1764</v>
      </c>
      <c r="F1349" s="3">
        <v>-0.69</v>
      </c>
    </row>
    <row r="1350" spans="1:6" ht="15" customHeight="1" x14ac:dyDescent="0.25">
      <c r="A1350" s="2" t="s">
        <v>88</v>
      </c>
      <c r="B1350" s="2" t="s">
        <v>1763</v>
      </c>
      <c r="C1350" s="2" t="s">
        <v>486</v>
      </c>
      <c r="D1350" s="2" t="s">
        <v>192</v>
      </c>
      <c r="E1350" s="2" t="s">
        <v>1765</v>
      </c>
      <c r="F1350" s="3">
        <v>-0.03</v>
      </c>
    </row>
    <row r="1351" spans="1:6" ht="15" customHeight="1" x14ac:dyDescent="0.25">
      <c r="A1351" s="2" t="s">
        <v>88</v>
      </c>
      <c r="B1351" s="2" t="s">
        <v>1763</v>
      </c>
      <c r="C1351" s="2" t="s">
        <v>484</v>
      </c>
      <c r="D1351" s="2" t="s">
        <v>192</v>
      </c>
      <c r="E1351" s="2" t="s">
        <v>1766</v>
      </c>
      <c r="F1351" s="3">
        <v>0.26</v>
      </c>
    </row>
    <row r="1352" spans="1:6" ht="15" customHeight="1" x14ac:dyDescent="0.25">
      <c r="A1352" s="2" t="s">
        <v>88</v>
      </c>
      <c r="B1352" s="2" t="s">
        <v>1763</v>
      </c>
      <c r="C1352" s="2" t="s">
        <v>484</v>
      </c>
      <c r="D1352" s="2" t="s">
        <v>196</v>
      </c>
      <c r="E1352" s="2" t="s">
        <v>1767</v>
      </c>
      <c r="F1352" s="3">
        <v>4.62</v>
      </c>
    </row>
    <row r="1353" spans="1:6" ht="15" customHeight="1" x14ac:dyDescent="0.25">
      <c r="A1353" s="2" t="s">
        <v>88</v>
      </c>
      <c r="B1353" s="2" t="s">
        <v>443</v>
      </c>
      <c r="C1353" s="2" t="s">
        <v>484</v>
      </c>
      <c r="D1353" s="2" t="s">
        <v>164</v>
      </c>
      <c r="E1353" s="2" t="s">
        <v>1768</v>
      </c>
      <c r="F1353" s="3">
        <v>2.88</v>
      </c>
    </row>
    <row r="1354" spans="1:6" ht="15" customHeight="1" x14ac:dyDescent="0.25">
      <c r="A1354" s="2" t="s">
        <v>88</v>
      </c>
      <c r="B1354" s="2" t="s">
        <v>443</v>
      </c>
      <c r="C1354" s="2" t="s">
        <v>486</v>
      </c>
      <c r="D1354" s="2" t="s">
        <v>164</v>
      </c>
      <c r="E1354" s="2" t="s">
        <v>1211</v>
      </c>
      <c r="F1354" s="3">
        <v>-0.43</v>
      </c>
    </row>
    <row r="1355" spans="1:6" ht="15" customHeight="1" x14ac:dyDescent="0.25">
      <c r="A1355" s="2" t="s">
        <v>88</v>
      </c>
      <c r="B1355" s="2" t="s">
        <v>443</v>
      </c>
      <c r="C1355" s="2" t="s">
        <v>484</v>
      </c>
      <c r="D1355" s="2" t="s">
        <v>177</v>
      </c>
      <c r="E1355" s="2" t="s">
        <v>1769</v>
      </c>
      <c r="F1355" s="3">
        <v>0.67</v>
      </c>
    </row>
    <row r="1356" spans="1:6" ht="15" customHeight="1" x14ac:dyDescent="0.25">
      <c r="A1356" s="2" t="s">
        <v>88</v>
      </c>
      <c r="B1356" s="2" t="s">
        <v>444</v>
      </c>
      <c r="C1356" s="2" t="s">
        <v>484</v>
      </c>
      <c r="D1356" s="2" t="s">
        <v>140</v>
      </c>
      <c r="E1356" s="2" t="s">
        <v>1770</v>
      </c>
      <c r="F1356" s="3">
        <v>4.4000000000000004</v>
      </c>
    </row>
    <row r="1357" spans="1:6" ht="15" customHeight="1" x14ac:dyDescent="0.25">
      <c r="A1357" s="2" t="s">
        <v>88</v>
      </c>
      <c r="B1357" s="2" t="s">
        <v>444</v>
      </c>
      <c r="C1357" s="2" t="s">
        <v>486</v>
      </c>
      <c r="D1357" s="2" t="s">
        <v>140</v>
      </c>
      <c r="E1357" s="2" t="s">
        <v>1771</v>
      </c>
      <c r="F1357" s="3">
        <v>-0.66</v>
      </c>
    </row>
    <row r="1358" spans="1:6" ht="15" customHeight="1" x14ac:dyDescent="0.25">
      <c r="A1358" s="2" t="s">
        <v>88</v>
      </c>
      <c r="B1358" s="2" t="s">
        <v>444</v>
      </c>
      <c r="C1358" s="2" t="s">
        <v>484</v>
      </c>
      <c r="D1358" s="2" t="s">
        <v>158</v>
      </c>
      <c r="E1358" s="2" t="s">
        <v>1772</v>
      </c>
      <c r="F1358" s="3">
        <v>1.47</v>
      </c>
    </row>
    <row r="1359" spans="1:6" ht="15" customHeight="1" x14ac:dyDescent="0.25">
      <c r="A1359" s="2" t="s">
        <v>88</v>
      </c>
      <c r="B1359" s="2" t="s">
        <v>444</v>
      </c>
      <c r="C1359" s="2" t="s">
        <v>486</v>
      </c>
      <c r="D1359" s="2" t="s">
        <v>158</v>
      </c>
      <c r="E1359" s="2" t="s">
        <v>866</v>
      </c>
      <c r="F1359" s="3">
        <v>-0.22</v>
      </c>
    </row>
    <row r="1360" spans="1:6" ht="15" customHeight="1" x14ac:dyDescent="0.25">
      <c r="A1360" s="2" t="s">
        <v>88</v>
      </c>
      <c r="B1360" s="2" t="s">
        <v>444</v>
      </c>
      <c r="C1360" s="2" t="s">
        <v>484</v>
      </c>
      <c r="D1360" s="2" t="s">
        <v>132</v>
      </c>
      <c r="E1360" s="2" t="s">
        <v>1773</v>
      </c>
      <c r="F1360" s="3">
        <v>6.15</v>
      </c>
    </row>
    <row r="1361" spans="1:6" ht="15" customHeight="1" x14ac:dyDescent="0.25">
      <c r="A1361" s="2" t="s">
        <v>88</v>
      </c>
      <c r="B1361" s="2" t="s">
        <v>444</v>
      </c>
      <c r="C1361" s="2" t="s">
        <v>486</v>
      </c>
      <c r="D1361" s="2" t="s">
        <v>132</v>
      </c>
      <c r="E1361" s="2" t="s">
        <v>1730</v>
      </c>
      <c r="F1361" s="3">
        <v>-0.92</v>
      </c>
    </row>
    <row r="1362" spans="1:6" ht="15" customHeight="1" x14ac:dyDescent="0.25">
      <c r="A1362" s="2" t="s">
        <v>88</v>
      </c>
      <c r="B1362" s="2" t="s">
        <v>444</v>
      </c>
      <c r="C1362" s="2" t="s">
        <v>486</v>
      </c>
      <c r="D1362" s="2" t="s">
        <v>152</v>
      </c>
      <c r="E1362" s="2" t="s">
        <v>1774</v>
      </c>
      <c r="F1362" s="3">
        <v>-0.66</v>
      </c>
    </row>
    <row r="1363" spans="1:6" ht="15" customHeight="1" x14ac:dyDescent="0.25">
      <c r="A1363" s="2" t="s">
        <v>88</v>
      </c>
      <c r="B1363" s="2" t="s">
        <v>444</v>
      </c>
      <c r="C1363" s="2" t="s">
        <v>484</v>
      </c>
      <c r="D1363" s="2" t="s">
        <v>152</v>
      </c>
      <c r="E1363" s="2" t="s">
        <v>1775</v>
      </c>
      <c r="F1363" s="3">
        <v>4.4400000000000004</v>
      </c>
    </row>
    <row r="1364" spans="1:6" ht="15" customHeight="1" x14ac:dyDescent="0.25">
      <c r="A1364" s="2" t="s">
        <v>88</v>
      </c>
      <c r="B1364" s="2" t="s">
        <v>444</v>
      </c>
      <c r="C1364" s="2" t="s">
        <v>486</v>
      </c>
      <c r="D1364" s="2" t="s">
        <v>145</v>
      </c>
      <c r="E1364" s="2" t="s">
        <v>595</v>
      </c>
      <c r="F1364" s="3">
        <v>-0.84</v>
      </c>
    </row>
    <row r="1365" spans="1:6" ht="15" customHeight="1" x14ac:dyDescent="0.25">
      <c r="A1365" s="2" t="s">
        <v>88</v>
      </c>
      <c r="B1365" s="2" t="s">
        <v>444</v>
      </c>
      <c r="C1365" s="2" t="s">
        <v>484</v>
      </c>
      <c r="D1365" s="2" t="s">
        <v>145</v>
      </c>
      <c r="E1365" s="2" t="s">
        <v>1776</v>
      </c>
      <c r="F1365" s="3">
        <v>5.61</v>
      </c>
    </row>
    <row r="1366" spans="1:6" ht="15" customHeight="1" x14ac:dyDescent="0.25">
      <c r="A1366" s="2" t="s">
        <v>88</v>
      </c>
      <c r="B1366" s="2" t="s">
        <v>444</v>
      </c>
      <c r="C1366" s="2" t="s">
        <v>486</v>
      </c>
      <c r="D1366" s="2" t="s">
        <v>194</v>
      </c>
      <c r="E1366" s="2" t="s">
        <v>1130</v>
      </c>
      <c r="F1366" s="3">
        <v>-0.81</v>
      </c>
    </row>
    <row r="1367" spans="1:6" ht="15" customHeight="1" x14ac:dyDescent="0.25">
      <c r="A1367" s="2" t="s">
        <v>88</v>
      </c>
      <c r="B1367" s="2" t="s">
        <v>444</v>
      </c>
      <c r="C1367" s="2" t="s">
        <v>484</v>
      </c>
      <c r="D1367" s="2" t="s">
        <v>194</v>
      </c>
      <c r="E1367" s="2" t="s">
        <v>1777</v>
      </c>
      <c r="F1367" s="3">
        <v>5.41</v>
      </c>
    </row>
    <row r="1368" spans="1:6" ht="15" customHeight="1" x14ac:dyDescent="0.25">
      <c r="A1368" s="2" t="s">
        <v>88</v>
      </c>
      <c r="B1368" s="2" t="s">
        <v>1778</v>
      </c>
      <c r="C1368" s="2" t="s">
        <v>486</v>
      </c>
      <c r="D1368" s="2" t="s">
        <v>204</v>
      </c>
      <c r="E1368" s="2" t="s">
        <v>1352</v>
      </c>
      <c r="F1368" s="3">
        <v>-0.35</v>
      </c>
    </row>
    <row r="1369" spans="1:6" ht="15" customHeight="1" x14ac:dyDescent="0.25">
      <c r="A1369" s="2" t="s">
        <v>88</v>
      </c>
      <c r="B1369" s="2" t="s">
        <v>1778</v>
      </c>
      <c r="C1369" s="2" t="s">
        <v>484</v>
      </c>
      <c r="D1369" s="2" t="s">
        <v>204</v>
      </c>
      <c r="E1369" s="2" t="s">
        <v>1779</v>
      </c>
      <c r="F1369" s="3">
        <v>2.38</v>
      </c>
    </row>
    <row r="1370" spans="1:6" ht="15" customHeight="1" x14ac:dyDescent="0.25">
      <c r="A1370" s="2" t="s">
        <v>88</v>
      </c>
      <c r="B1370" s="2" t="s">
        <v>1780</v>
      </c>
      <c r="C1370" s="2" t="s">
        <v>484</v>
      </c>
      <c r="D1370" s="2" t="s">
        <v>215</v>
      </c>
      <c r="E1370" s="2" t="s">
        <v>1781</v>
      </c>
      <c r="F1370" s="3">
        <v>13</v>
      </c>
    </row>
    <row r="1371" spans="1:6" ht="15" customHeight="1" x14ac:dyDescent="0.25">
      <c r="A1371" s="2" t="s">
        <v>88</v>
      </c>
      <c r="B1371" s="2" t="s">
        <v>1780</v>
      </c>
      <c r="C1371" s="2" t="s">
        <v>486</v>
      </c>
      <c r="D1371" s="2" t="s">
        <v>215</v>
      </c>
      <c r="E1371" s="2" t="s">
        <v>1782</v>
      </c>
      <c r="F1371" s="3">
        <v>-1.95</v>
      </c>
    </row>
    <row r="1372" spans="1:6" ht="15" customHeight="1" x14ac:dyDescent="0.25">
      <c r="A1372" s="2" t="s">
        <v>88</v>
      </c>
      <c r="B1372" s="2" t="s">
        <v>1780</v>
      </c>
      <c r="C1372" s="2" t="s">
        <v>486</v>
      </c>
      <c r="D1372" s="2" t="s">
        <v>179</v>
      </c>
      <c r="E1372" s="2" t="s">
        <v>1783</v>
      </c>
      <c r="F1372" s="3">
        <v>-1.42</v>
      </c>
    </row>
    <row r="1373" spans="1:6" ht="15" customHeight="1" x14ac:dyDescent="0.25">
      <c r="A1373" s="2" t="s">
        <v>88</v>
      </c>
      <c r="B1373" s="2" t="s">
        <v>1780</v>
      </c>
      <c r="C1373" s="2" t="s">
        <v>484</v>
      </c>
      <c r="D1373" s="2" t="s">
        <v>179</v>
      </c>
      <c r="E1373" s="2" t="s">
        <v>1784</v>
      </c>
      <c r="F1373" s="3">
        <v>9.5</v>
      </c>
    </row>
    <row r="1374" spans="1:6" ht="15" customHeight="1" x14ac:dyDescent="0.25">
      <c r="A1374" s="2" t="s">
        <v>88</v>
      </c>
      <c r="B1374" s="2" t="s">
        <v>1780</v>
      </c>
      <c r="C1374" s="2" t="s">
        <v>486</v>
      </c>
      <c r="D1374" s="2" t="s">
        <v>154</v>
      </c>
      <c r="E1374" s="2" t="s">
        <v>1256</v>
      </c>
      <c r="F1374" s="3">
        <v>-0.28000000000000003</v>
      </c>
    </row>
    <row r="1375" spans="1:6" ht="15" customHeight="1" x14ac:dyDescent="0.25">
      <c r="A1375" s="2" t="s">
        <v>88</v>
      </c>
      <c r="B1375" s="2" t="s">
        <v>1780</v>
      </c>
      <c r="C1375" s="2" t="s">
        <v>484</v>
      </c>
      <c r="D1375" s="2" t="s">
        <v>154</v>
      </c>
      <c r="E1375" s="2" t="s">
        <v>1785</v>
      </c>
      <c r="F1375" s="3">
        <v>1.89</v>
      </c>
    </row>
    <row r="1376" spans="1:6" ht="15" customHeight="1" x14ac:dyDescent="0.25">
      <c r="A1376" s="2" t="s">
        <v>88</v>
      </c>
      <c r="B1376" s="2" t="s">
        <v>1780</v>
      </c>
      <c r="C1376" s="2" t="s">
        <v>486</v>
      </c>
      <c r="D1376" s="2" t="s">
        <v>164</v>
      </c>
      <c r="E1376" s="2" t="s">
        <v>1786</v>
      </c>
      <c r="F1376" s="3">
        <v>-0.4</v>
      </c>
    </row>
    <row r="1377" spans="1:6" ht="15" customHeight="1" x14ac:dyDescent="0.25">
      <c r="A1377" s="2" t="s">
        <v>88</v>
      </c>
      <c r="B1377" s="2" t="s">
        <v>1780</v>
      </c>
      <c r="C1377" s="2" t="s">
        <v>484</v>
      </c>
      <c r="D1377" s="2" t="s">
        <v>164</v>
      </c>
      <c r="E1377" s="2" t="s">
        <v>1787</v>
      </c>
      <c r="F1377" s="3">
        <v>2.67</v>
      </c>
    </row>
    <row r="1378" spans="1:6" ht="15" customHeight="1" x14ac:dyDescent="0.25">
      <c r="A1378" s="2" t="s">
        <v>88</v>
      </c>
      <c r="B1378" s="2" t="s">
        <v>447</v>
      </c>
      <c r="C1378" s="2" t="s">
        <v>486</v>
      </c>
      <c r="D1378" s="2" t="s">
        <v>140</v>
      </c>
      <c r="E1378" s="2" t="s">
        <v>1788</v>
      </c>
      <c r="F1378" s="3">
        <v>-0.64</v>
      </c>
    </row>
    <row r="1379" spans="1:6" ht="15" customHeight="1" x14ac:dyDescent="0.25">
      <c r="A1379" s="2" t="s">
        <v>88</v>
      </c>
      <c r="B1379" s="2" t="s">
        <v>447</v>
      </c>
      <c r="C1379" s="2" t="s">
        <v>484</v>
      </c>
      <c r="D1379" s="2" t="s">
        <v>140</v>
      </c>
      <c r="E1379" s="2" t="s">
        <v>1789</v>
      </c>
      <c r="F1379" s="3">
        <v>4.2699999999999996</v>
      </c>
    </row>
    <row r="1380" spans="1:6" ht="15" customHeight="1" x14ac:dyDescent="0.25">
      <c r="A1380" s="2" t="s">
        <v>88</v>
      </c>
      <c r="B1380" s="2" t="s">
        <v>447</v>
      </c>
      <c r="C1380" s="2" t="s">
        <v>486</v>
      </c>
      <c r="D1380" s="2" t="s">
        <v>158</v>
      </c>
      <c r="E1380" s="2" t="s">
        <v>1790</v>
      </c>
      <c r="F1380" s="3">
        <v>-0.19</v>
      </c>
    </row>
    <row r="1381" spans="1:6" ht="15" customHeight="1" x14ac:dyDescent="0.25">
      <c r="A1381" s="2" t="s">
        <v>88</v>
      </c>
      <c r="B1381" s="2" t="s">
        <v>447</v>
      </c>
      <c r="C1381" s="2" t="s">
        <v>484</v>
      </c>
      <c r="D1381" s="2" t="s">
        <v>158</v>
      </c>
      <c r="E1381" s="2" t="s">
        <v>1791</v>
      </c>
      <c r="F1381" s="3">
        <v>1.33</v>
      </c>
    </row>
    <row r="1382" spans="1:6" ht="15" customHeight="1" x14ac:dyDescent="0.25">
      <c r="A1382" s="2" t="s">
        <v>88</v>
      </c>
      <c r="B1382" s="2" t="s">
        <v>447</v>
      </c>
      <c r="C1382" s="2" t="s">
        <v>484</v>
      </c>
      <c r="D1382" s="2" t="s">
        <v>132</v>
      </c>
      <c r="E1382" s="2" t="s">
        <v>1792</v>
      </c>
      <c r="F1382" s="3">
        <v>7.55</v>
      </c>
    </row>
    <row r="1383" spans="1:6" ht="15" customHeight="1" x14ac:dyDescent="0.25">
      <c r="A1383" s="2" t="s">
        <v>88</v>
      </c>
      <c r="B1383" s="2" t="s">
        <v>447</v>
      </c>
      <c r="C1383" s="2" t="s">
        <v>486</v>
      </c>
      <c r="D1383" s="2" t="s">
        <v>132</v>
      </c>
      <c r="E1383" s="2" t="s">
        <v>1793</v>
      </c>
      <c r="F1383" s="3">
        <v>-1.1299999999999999</v>
      </c>
    </row>
    <row r="1384" spans="1:6" ht="15" customHeight="1" x14ac:dyDescent="0.25">
      <c r="A1384" s="2" t="s">
        <v>88</v>
      </c>
      <c r="B1384" s="2" t="s">
        <v>447</v>
      </c>
      <c r="C1384" s="2" t="s">
        <v>486</v>
      </c>
      <c r="D1384" s="2" t="s">
        <v>216</v>
      </c>
      <c r="E1384" s="2" t="s">
        <v>1794</v>
      </c>
      <c r="F1384" s="3">
        <v>-0.03</v>
      </c>
    </row>
    <row r="1385" spans="1:6" ht="15" customHeight="1" x14ac:dyDescent="0.25">
      <c r="A1385" s="2" t="s">
        <v>88</v>
      </c>
      <c r="B1385" s="2" t="s">
        <v>447</v>
      </c>
      <c r="C1385" s="2" t="s">
        <v>484</v>
      </c>
      <c r="D1385" s="2" t="s">
        <v>216</v>
      </c>
      <c r="E1385" s="2" t="s">
        <v>1795</v>
      </c>
      <c r="F1385" s="3">
        <v>0.2</v>
      </c>
    </row>
    <row r="1386" spans="1:6" ht="15" customHeight="1" x14ac:dyDescent="0.25">
      <c r="A1386" s="2" t="s">
        <v>88</v>
      </c>
      <c r="B1386" s="2" t="s">
        <v>447</v>
      </c>
      <c r="C1386" s="2" t="s">
        <v>484</v>
      </c>
      <c r="D1386" s="2" t="s">
        <v>152</v>
      </c>
      <c r="E1386" s="2" t="s">
        <v>1796</v>
      </c>
      <c r="F1386" s="3">
        <v>4.9000000000000004</v>
      </c>
    </row>
    <row r="1387" spans="1:6" ht="15" customHeight="1" x14ac:dyDescent="0.25">
      <c r="A1387" s="2" t="s">
        <v>88</v>
      </c>
      <c r="B1387" s="2" t="s">
        <v>447</v>
      </c>
      <c r="C1387" s="2" t="s">
        <v>486</v>
      </c>
      <c r="D1387" s="2" t="s">
        <v>152</v>
      </c>
      <c r="E1387" s="2" t="s">
        <v>1797</v>
      </c>
      <c r="F1387" s="3">
        <v>-0.73</v>
      </c>
    </row>
    <row r="1388" spans="1:6" ht="15" customHeight="1" x14ac:dyDescent="0.25">
      <c r="A1388" s="2" t="s">
        <v>88</v>
      </c>
      <c r="B1388" s="2" t="s">
        <v>447</v>
      </c>
      <c r="C1388" s="2" t="s">
        <v>486</v>
      </c>
      <c r="D1388" s="2" t="s">
        <v>145</v>
      </c>
      <c r="E1388" s="2" t="s">
        <v>1798</v>
      </c>
      <c r="F1388" s="3">
        <v>-0.75</v>
      </c>
    </row>
    <row r="1389" spans="1:6" ht="15" customHeight="1" x14ac:dyDescent="0.25">
      <c r="A1389" s="2" t="s">
        <v>88</v>
      </c>
      <c r="B1389" s="2" t="s">
        <v>447</v>
      </c>
      <c r="C1389" s="2" t="s">
        <v>484</v>
      </c>
      <c r="D1389" s="2" t="s">
        <v>145</v>
      </c>
      <c r="E1389" s="2" t="s">
        <v>1799</v>
      </c>
      <c r="F1389" s="3">
        <v>5.0599999999999996</v>
      </c>
    </row>
    <row r="1390" spans="1:6" ht="15" customHeight="1" x14ac:dyDescent="0.25">
      <c r="A1390" s="2" t="s">
        <v>88</v>
      </c>
      <c r="B1390" s="2" t="s">
        <v>447</v>
      </c>
      <c r="C1390" s="2" t="s">
        <v>486</v>
      </c>
      <c r="D1390" s="2" t="s">
        <v>194</v>
      </c>
      <c r="E1390" s="2" t="s">
        <v>1800</v>
      </c>
      <c r="F1390" s="3">
        <v>-0.86</v>
      </c>
    </row>
    <row r="1391" spans="1:6" ht="15" customHeight="1" x14ac:dyDescent="0.25">
      <c r="A1391" s="2" t="s">
        <v>88</v>
      </c>
      <c r="B1391" s="2" t="s">
        <v>447</v>
      </c>
      <c r="C1391" s="2" t="s">
        <v>484</v>
      </c>
      <c r="D1391" s="2" t="s">
        <v>194</v>
      </c>
      <c r="E1391" s="2" t="s">
        <v>1801</v>
      </c>
      <c r="F1391" s="3">
        <v>5.78</v>
      </c>
    </row>
    <row r="1392" spans="1:6" ht="15" customHeight="1" x14ac:dyDescent="0.25">
      <c r="A1392" s="2" t="s">
        <v>88</v>
      </c>
      <c r="B1392" s="2" t="s">
        <v>1802</v>
      </c>
      <c r="C1392" s="2" t="s">
        <v>484</v>
      </c>
      <c r="D1392" s="2" t="s">
        <v>164</v>
      </c>
      <c r="E1392" s="2" t="s">
        <v>1803</v>
      </c>
      <c r="F1392" s="3">
        <v>2.7</v>
      </c>
    </row>
    <row r="1393" spans="1:6" ht="15" customHeight="1" x14ac:dyDescent="0.25">
      <c r="A1393" s="2" t="s">
        <v>88</v>
      </c>
      <c r="B1393" s="2" t="s">
        <v>1802</v>
      </c>
      <c r="C1393" s="2" t="s">
        <v>486</v>
      </c>
      <c r="D1393" s="2" t="s">
        <v>164</v>
      </c>
      <c r="E1393" s="2" t="s">
        <v>1005</v>
      </c>
      <c r="F1393" s="3">
        <v>-0.4</v>
      </c>
    </row>
    <row r="1394" spans="1:6" ht="15" customHeight="1" x14ac:dyDescent="0.25">
      <c r="A1394" s="2" t="s">
        <v>88</v>
      </c>
      <c r="B1394" s="2" t="s">
        <v>1804</v>
      </c>
      <c r="C1394" s="2" t="s">
        <v>486</v>
      </c>
      <c r="D1394" s="2" t="s">
        <v>140</v>
      </c>
      <c r="E1394" s="2" t="s">
        <v>1805</v>
      </c>
      <c r="F1394" s="3">
        <v>-0.35</v>
      </c>
    </row>
    <row r="1395" spans="1:6" ht="15" customHeight="1" x14ac:dyDescent="0.25">
      <c r="A1395" s="2" t="s">
        <v>88</v>
      </c>
      <c r="B1395" s="2" t="s">
        <v>1804</v>
      </c>
      <c r="C1395" s="2" t="s">
        <v>484</v>
      </c>
      <c r="D1395" s="2" t="s">
        <v>140</v>
      </c>
      <c r="E1395" s="2" t="s">
        <v>1806</v>
      </c>
      <c r="F1395" s="3">
        <v>2.39</v>
      </c>
    </row>
    <row r="1396" spans="1:6" ht="15" customHeight="1" x14ac:dyDescent="0.25">
      <c r="A1396" s="2" t="s">
        <v>88</v>
      </c>
      <c r="B1396" s="2" t="s">
        <v>1804</v>
      </c>
      <c r="C1396" s="2" t="s">
        <v>484</v>
      </c>
      <c r="D1396" s="2" t="s">
        <v>158</v>
      </c>
      <c r="E1396" s="2" t="s">
        <v>1807</v>
      </c>
      <c r="F1396" s="3">
        <v>1.07</v>
      </c>
    </row>
    <row r="1397" spans="1:6" ht="15" customHeight="1" x14ac:dyDescent="0.25">
      <c r="A1397" s="2" t="s">
        <v>88</v>
      </c>
      <c r="B1397" s="2" t="s">
        <v>1804</v>
      </c>
      <c r="C1397" s="2" t="s">
        <v>486</v>
      </c>
      <c r="D1397" s="2" t="s">
        <v>158</v>
      </c>
      <c r="E1397" s="2" t="s">
        <v>1472</v>
      </c>
      <c r="F1397" s="3">
        <v>-0.16</v>
      </c>
    </row>
    <row r="1398" spans="1:6" ht="15" customHeight="1" x14ac:dyDescent="0.25">
      <c r="A1398" s="2" t="s">
        <v>88</v>
      </c>
      <c r="B1398" s="2" t="s">
        <v>1804</v>
      </c>
      <c r="C1398" s="2" t="s">
        <v>486</v>
      </c>
      <c r="D1398" s="2" t="s">
        <v>132</v>
      </c>
      <c r="E1398" s="2" t="s">
        <v>1808</v>
      </c>
      <c r="F1398" s="3">
        <v>-1.21</v>
      </c>
    </row>
    <row r="1399" spans="1:6" ht="15" customHeight="1" x14ac:dyDescent="0.25">
      <c r="A1399" s="2" t="s">
        <v>88</v>
      </c>
      <c r="B1399" s="2" t="s">
        <v>1804</v>
      </c>
      <c r="C1399" s="2" t="s">
        <v>484</v>
      </c>
      <c r="D1399" s="2" t="s">
        <v>132</v>
      </c>
      <c r="E1399" s="2" t="s">
        <v>1809</v>
      </c>
      <c r="F1399" s="3">
        <v>8.1</v>
      </c>
    </row>
    <row r="1400" spans="1:6" ht="15" customHeight="1" x14ac:dyDescent="0.25">
      <c r="A1400" s="2" t="s">
        <v>88</v>
      </c>
      <c r="B1400" s="2" t="s">
        <v>1804</v>
      </c>
      <c r="C1400" s="2" t="s">
        <v>484</v>
      </c>
      <c r="D1400" s="2" t="s">
        <v>134</v>
      </c>
      <c r="E1400" s="2" t="s">
        <v>1810</v>
      </c>
      <c r="F1400" s="3">
        <v>9.4</v>
      </c>
    </row>
    <row r="1401" spans="1:6" ht="15" customHeight="1" x14ac:dyDescent="0.25">
      <c r="A1401" s="2" t="s">
        <v>88</v>
      </c>
      <c r="B1401" s="2" t="s">
        <v>1804</v>
      </c>
      <c r="C1401" s="2" t="s">
        <v>486</v>
      </c>
      <c r="D1401" s="2" t="s">
        <v>134</v>
      </c>
      <c r="E1401" s="2" t="s">
        <v>1811</v>
      </c>
      <c r="F1401" s="3">
        <v>-1.41</v>
      </c>
    </row>
    <row r="1402" spans="1:6" ht="15" customHeight="1" x14ac:dyDescent="0.25">
      <c r="A1402" s="2" t="s">
        <v>88</v>
      </c>
      <c r="B1402" s="2" t="s">
        <v>1804</v>
      </c>
      <c r="C1402" s="2" t="s">
        <v>484</v>
      </c>
      <c r="D1402" s="2" t="s">
        <v>152</v>
      </c>
      <c r="E1402" s="2" t="s">
        <v>1812</v>
      </c>
      <c r="F1402" s="3">
        <v>5.0999999999999996</v>
      </c>
    </row>
    <row r="1403" spans="1:6" ht="15" customHeight="1" x14ac:dyDescent="0.25">
      <c r="A1403" s="2" t="s">
        <v>88</v>
      </c>
      <c r="B1403" s="2" t="s">
        <v>1804</v>
      </c>
      <c r="C1403" s="2" t="s">
        <v>486</v>
      </c>
      <c r="D1403" s="2" t="s">
        <v>152</v>
      </c>
      <c r="E1403" s="2" t="s">
        <v>1813</v>
      </c>
      <c r="F1403" s="3">
        <v>-0.76</v>
      </c>
    </row>
    <row r="1404" spans="1:6" ht="15" customHeight="1" x14ac:dyDescent="0.25">
      <c r="A1404" s="2" t="s">
        <v>88</v>
      </c>
      <c r="B1404" s="2" t="s">
        <v>1804</v>
      </c>
      <c r="C1404" s="2" t="s">
        <v>484</v>
      </c>
      <c r="D1404" s="2" t="s">
        <v>145</v>
      </c>
      <c r="E1404" s="2" t="s">
        <v>1814</v>
      </c>
      <c r="F1404" s="3">
        <v>4.51</v>
      </c>
    </row>
    <row r="1405" spans="1:6" ht="15" customHeight="1" x14ac:dyDescent="0.25">
      <c r="A1405" s="2" t="s">
        <v>88</v>
      </c>
      <c r="B1405" s="2" t="s">
        <v>1804</v>
      </c>
      <c r="C1405" s="2" t="s">
        <v>486</v>
      </c>
      <c r="D1405" s="2" t="s">
        <v>145</v>
      </c>
      <c r="E1405" s="2" t="s">
        <v>1815</v>
      </c>
      <c r="F1405" s="3">
        <v>-0.67</v>
      </c>
    </row>
    <row r="1406" spans="1:6" ht="15" customHeight="1" x14ac:dyDescent="0.25">
      <c r="A1406" s="2" t="s">
        <v>88</v>
      </c>
      <c r="B1406" s="2" t="s">
        <v>1804</v>
      </c>
      <c r="C1406" s="2" t="s">
        <v>484</v>
      </c>
      <c r="D1406" s="2" t="s">
        <v>194</v>
      </c>
      <c r="E1406" s="2" t="s">
        <v>1816</v>
      </c>
      <c r="F1406" s="3">
        <v>5.31</v>
      </c>
    </row>
    <row r="1407" spans="1:6" ht="15" customHeight="1" x14ac:dyDescent="0.25">
      <c r="A1407" s="2" t="s">
        <v>88</v>
      </c>
      <c r="B1407" s="2" t="s">
        <v>1804</v>
      </c>
      <c r="C1407" s="2" t="s">
        <v>486</v>
      </c>
      <c r="D1407" s="2" t="s">
        <v>194</v>
      </c>
      <c r="E1407" s="2" t="s">
        <v>1298</v>
      </c>
      <c r="F1407" s="3">
        <v>-0.79</v>
      </c>
    </row>
    <row r="1408" spans="1:6" ht="15" customHeight="1" x14ac:dyDescent="0.25">
      <c r="A1408" s="2" t="s">
        <v>88</v>
      </c>
      <c r="B1408" s="2" t="s">
        <v>1804</v>
      </c>
      <c r="C1408" s="2" t="s">
        <v>484</v>
      </c>
      <c r="D1408" s="2" t="s">
        <v>136</v>
      </c>
      <c r="E1408" s="2" t="s">
        <v>1817</v>
      </c>
      <c r="F1408" s="3">
        <v>6.07</v>
      </c>
    </row>
    <row r="1409" spans="1:6" ht="15" customHeight="1" x14ac:dyDescent="0.25">
      <c r="A1409" s="2" t="s">
        <v>88</v>
      </c>
      <c r="B1409" s="2" t="s">
        <v>1804</v>
      </c>
      <c r="C1409" s="2" t="s">
        <v>486</v>
      </c>
      <c r="D1409" s="2" t="s">
        <v>136</v>
      </c>
      <c r="E1409" s="2" t="s">
        <v>1818</v>
      </c>
      <c r="F1409" s="3">
        <v>-0.91</v>
      </c>
    </row>
    <row r="1410" spans="1:6" ht="15" customHeight="1" x14ac:dyDescent="0.25">
      <c r="A1410" s="2" t="s">
        <v>88</v>
      </c>
      <c r="B1410" s="2" t="s">
        <v>1819</v>
      </c>
      <c r="C1410" s="2" t="s">
        <v>484</v>
      </c>
      <c r="D1410" s="2" t="s">
        <v>170</v>
      </c>
      <c r="E1410" s="2" t="s">
        <v>1820</v>
      </c>
      <c r="F1410" s="3">
        <v>2.36</v>
      </c>
    </row>
    <row r="1411" spans="1:6" ht="15" customHeight="1" x14ac:dyDescent="0.25">
      <c r="A1411" s="2" t="s">
        <v>88</v>
      </c>
      <c r="B1411" s="2" t="s">
        <v>1819</v>
      </c>
      <c r="C1411" s="2" t="s">
        <v>486</v>
      </c>
      <c r="D1411" s="2" t="s">
        <v>170</v>
      </c>
      <c r="E1411" s="2" t="s">
        <v>879</v>
      </c>
      <c r="F1411" s="3">
        <v>-0.35</v>
      </c>
    </row>
    <row r="1412" spans="1:6" ht="15" customHeight="1" x14ac:dyDescent="0.25">
      <c r="A1412" s="2" t="s">
        <v>88</v>
      </c>
      <c r="B1412" s="2" t="s">
        <v>449</v>
      </c>
      <c r="C1412" s="2" t="s">
        <v>486</v>
      </c>
      <c r="D1412" s="2" t="s">
        <v>244</v>
      </c>
      <c r="E1412" s="2" t="s">
        <v>1821</v>
      </c>
      <c r="F1412" s="3">
        <v>-0.14000000000000001</v>
      </c>
    </row>
    <row r="1413" spans="1:6" ht="15" customHeight="1" x14ac:dyDescent="0.25">
      <c r="A1413" s="2" t="s">
        <v>88</v>
      </c>
      <c r="B1413" s="2" t="s">
        <v>449</v>
      </c>
      <c r="C1413" s="2" t="s">
        <v>484</v>
      </c>
      <c r="D1413" s="2" t="s">
        <v>244</v>
      </c>
      <c r="E1413" s="2" t="s">
        <v>1822</v>
      </c>
      <c r="F1413" s="3">
        <v>0.99</v>
      </c>
    </row>
    <row r="1414" spans="1:6" ht="15" customHeight="1" x14ac:dyDescent="0.25">
      <c r="A1414" s="2" t="s">
        <v>88</v>
      </c>
      <c r="B1414" s="2" t="s">
        <v>1823</v>
      </c>
      <c r="C1414" s="2" t="s">
        <v>486</v>
      </c>
      <c r="D1414" s="2" t="s">
        <v>164</v>
      </c>
      <c r="E1414" s="2" t="s">
        <v>1824</v>
      </c>
      <c r="F1414" s="3">
        <v>-0.4</v>
      </c>
    </row>
    <row r="1415" spans="1:6" ht="15" customHeight="1" x14ac:dyDescent="0.25">
      <c r="A1415" s="2" t="s">
        <v>88</v>
      </c>
      <c r="B1415" s="2" t="s">
        <v>1823</v>
      </c>
      <c r="C1415" s="2" t="s">
        <v>484</v>
      </c>
      <c r="D1415" s="2" t="s">
        <v>164</v>
      </c>
      <c r="E1415" s="2" t="s">
        <v>1825</v>
      </c>
      <c r="F1415" s="3">
        <v>2.71</v>
      </c>
    </row>
    <row r="1416" spans="1:6" ht="15" customHeight="1" x14ac:dyDescent="0.25">
      <c r="A1416" s="2" t="s">
        <v>88</v>
      </c>
      <c r="B1416" s="2" t="s">
        <v>1826</v>
      </c>
      <c r="C1416" s="2" t="s">
        <v>484</v>
      </c>
      <c r="D1416" s="2" t="s">
        <v>140</v>
      </c>
      <c r="E1416" s="2" t="s">
        <v>1827</v>
      </c>
      <c r="F1416" s="3">
        <v>3.32</v>
      </c>
    </row>
    <row r="1417" spans="1:6" ht="15" customHeight="1" x14ac:dyDescent="0.25">
      <c r="A1417" s="2" t="s">
        <v>88</v>
      </c>
      <c r="B1417" s="2" t="s">
        <v>1826</v>
      </c>
      <c r="C1417" s="2" t="s">
        <v>486</v>
      </c>
      <c r="D1417" s="2" t="s">
        <v>140</v>
      </c>
      <c r="E1417" s="2" t="s">
        <v>1828</v>
      </c>
      <c r="F1417" s="3">
        <v>-0.49</v>
      </c>
    </row>
    <row r="1418" spans="1:6" ht="15" customHeight="1" x14ac:dyDescent="0.25">
      <c r="A1418" s="2" t="s">
        <v>88</v>
      </c>
      <c r="B1418" s="2" t="s">
        <v>1826</v>
      </c>
      <c r="C1418" s="2" t="s">
        <v>486</v>
      </c>
      <c r="D1418" s="2" t="s">
        <v>158</v>
      </c>
      <c r="E1418" s="2" t="s">
        <v>1829</v>
      </c>
      <c r="F1418" s="3">
        <v>-0.21</v>
      </c>
    </row>
    <row r="1419" spans="1:6" ht="15" customHeight="1" x14ac:dyDescent="0.25">
      <c r="A1419" s="2" t="s">
        <v>88</v>
      </c>
      <c r="B1419" s="2" t="s">
        <v>1826</v>
      </c>
      <c r="C1419" s="2" t="s">
        <v>484</v>
      </c>
      <c r="D1419" s="2" t="s">
        <v>158</v>
      </c>
      <c r="E1419" s="2" t="s">
        <v>1830</v>
      </c>
      <c r="F1419" s="3">
        <v>1.44</v>
      </c>
    </row>
    <row r="1420" spans="1:6" ht="15" customHeight="1" x14ac:dyDescent="0.25">
      <c r="A1420" s="2" t="s">
        <v>88</v>
      </c>
      <c r="B1420" s="2" t="s">
        <v>1826</v>
      </c>
      <c r="C1420" s="2" t="s">
        <v>486</v>
      </c>
      <c r="D1420" s="2" t="s">
        <v>204</v>
      </c>
      <c r="E1420" s="2" t="s">
        <v>1352</v>
      </c>
      <c r="F1420" s="3">
        <v>-0.35</v>
      </c>
    </row>
    <row r="1421" spans="1:6" ht="15" customHeight="1" x14ac:dyDescent="0.25">
      <c r="A1421" s="2" t="s">
        <v>88</v>
      </c>
      <c r="B1421" s="2" t="s">
        <v>1826</v>
      </c>
      <c r="C1421" s="2" t="s">
        <v>484</v>
      </c>
      <c r="D1421" s="2" t="s">
        <v>204</v>
      </c>
      <c r="E1421" s="2" t="s">
        <v>1831</v>
      </c>
      <c r="F1421" s="3">
        <v>2.38</v>
      </c>
    </row>
    <row r="1422" spans="1:6" ht="15" customHeight="1" x14ac:dyDescent="0.25">
      <c r="A1422" s="2" t="s">
        <v>88</v>
      </c>
      <c r="B1422" s="2" t="s">
        <v>1826</v>
      </c>
      <c r="C1422" s="2" t="s">
        <v>486</v>
      </c>
      <c r="D1422" s="2" t="s">
        <v>132</v>
      </c>
      <c r="E1422" s="2" t="s">
        <v>1674</v>
      </c>
      <c r="F1422" s="3">
        <v>-1.19</v>
      </c>
    </row>
    <row r="1423" spans="1:6" ht="15" customHeight="1" x14ac:dyDescent="0.25">
      <c r="A1423" s="2" t="s">
        <v>88</v>
      </c>
      <c r="B1423" s="2" t="s">
        <v>1826</v>
      </c>
      <c r="C1423" s="2" t="s">
        <v>484</v>
      </c>
      <c r="D1423" s="2" t="s">
        <v>132</v>
      </c>
      <c r="E1423" s="2" t="s">
        <v>1832</v>
      </c>
      <c r="F1423" s="3">
        <v>7.95</v>
      </c>
    </row>
    <row r="1424" spans="1:6" ht="15" customHeight="1" x14ac:dyDescent="0.25">
      <c r="A1424" s="2" t="s">
        <v>88</v>
      </c>
      <c r="B1424" s="2" t="s">
        <v>1826</v>
      </c>
      <c r="C1424" s="2" t="s">
        <v>486</v>
      </c>
      <c r="D1424" s="2" t="s">
        <v>121</v>
      </c>
      <c r="E1424" s="2" t="s">
        <v>1833</v>
      </c>
      <c r="F1424" s="3">
        <v>-4.43</v>
      </c>
    </row>
    <row r="1425" spans="1:6" ht="15" customHeight="1" x14ac:dyDescent="0.25">
      <c r="A1425" s="2" t="s">
        <v>88</v>
      </c>
      <c r="B1425" s="2" t="s">
        <v>1826</v>
      </c>
      <c r="C1425" s="2" t="s">
        <v>484</v>
      </c>
      <c r="D1425" s="2" t="s">
        <v>121</v>
      </c>
      <c r="E1425" s="2" t="s">
        <v>1834</v>
      </c>
      <c r="F1425" s="3">
        <v>29.55</v>
      </c>
    </row>
    <row r="1426" spans="1:6" ht="15" customHeight="1" x14ac:dyDescent="0.25">
      <c r="A1426" s="2" t="s">
        <v>88</v>
      </c>
      <c r="B1426" s="2" t="s">
        <v>1826</v>
      </c>
      <c r="C1426" s="2" t="s">
        <v>486</v>
      </c>
      <c r="D1426" s="2" t="s">
        <v>152</v>
      </c>
      <c r="E1426" s="2" t="s">
        <v>1835</v>
      </c>
      <c r="F1426" s="3">
        <v>-0.66</v>
      </c>
    </row>
    <row r="1427" spans="1:6" ht="15" customHeight="1" x14ac:dyDescent="0.25">
      <c r="A1427" s="2" t="s">
        <v>88</v>
      </c>
      <c r="B1427" s="2" t="s">
        <v>1826</v>
      </c>
      <c r="C1427" s="2" t="s">
        <v>484</v>
      </c>
      <c r="D1427" s="2" t="s">
        <v>152</v>
      </c>
      <c r="E1427" s="2" t="s">
        <v>1836</v>
      </c>
      <c r="F1427" s="3">
        <v>4.42</v>
      </c>
    </row>
    <row r="1428" spans="1:6" ht="15" customHeight="1" x14ac:dyDescent="0.25">
      <c r="A1428" s="2" t="s">
        <v>88</v>
      </c>
      <c r="B1428" s="2" t="s">
        <v>1826</v>
      </c>
      <c r="C1428" s="2" t="s">
        <v>484</v>
      </c>
      <c r="D1428" s="2" t="s">
        <v>145</v>
      </c>
      <c r="E1428" s="2" t="s">
        <v>1837</v>
      </c>
      <c r="F1428" s="3">
        <v>5.73</v>
      </c>
    </row>
    <row r="1429" spans="1:6" ht="15" customHeight="1" x14ac:dyDescent="0.25">
      <c r="A1429" s="2" t="s">
        <v>88</v>
      </c>
      <c r="B1429" s="2" t="s">
        <v>1826</v>
      </c>
      <c r="C1429" s="2" t="s">
        <v>486</v>
      </c>
      <c r="D1429" s="2" t="s">
        <v>145</v>
      </c>
      <c r="E1429" s="2" t="s">
        <v>1838</v>
      </c>
      <c r="F1429" s="3">
        <v>-0.85</v>
      </c>
    </row>
    <row r="1430" spans="1:6" ht="15" customHeight="1" x14ac:dyDescent="0.25">
      <c r="A1430" s="2" t="s">
        <v>88</v>
      </c>
      <c r="B1430" s="2" t="s">
        <v>1826</v>
      </c>
      <c r="C1430" s="2" t="s">
        <v>484</v>
      </c>
      <c r="D1430" s="2" t="s">
        <v>194</v>
      </c>
      <c r="E1430" s="2" t="s">
        <v>1839</v>
      </c>
      <c r="F1430" s="3">
        <v>5.16</v>
      </c>
    </row>
    <row r="1431" spans="1:6" ht="15" customHeight="1" x14ac:dyDescent="0.25">
      <c r="A1431" s="2" t="s">
        <v>88</v>
      </c>
      <c r="B1431" s="2" t="s">
        <v>1826</v>
      </c>
      <c r="C1431" s="2" t="s">
        <v>486</v>
      </c>
      <c r="D1431" s="2" t="s">
        <v>194</v>
      </c>
      <c r="E1431" s="2" t="s">
        <v>1116</v>
      </c>
      <c r="F1431" s="3">
        <v>-0.77</v>
      </c>
    </row>
    <row r="1432" spans="1:6" ht="15" customHeight="1" x14ac:dyDescent="0.25">
      <c r="A1432" s="2" t="s">
        <v>88</v>
      </c>
      <c r="B1432" s="2" t="s">
        <v>1826</v>
      </c>
      <c r="C1432" s="2" t="s">
        <v>486</v>
      </c>
      <c r="D1432" s="2" t="s">
        <v>190</v>
      </c>
      <c r="E1432" s="2" t="s">
        <v>987</v>
      </c>
      <c r="F1432" s="3">
        <v>-0.62</v>
      </c>
    </row>
    <row r="1433" spans="1:6" ht="15" customHeight="1" x14ac:dyDescent="0.25">
      <c r="A1433" s="2" t="s">
        <v>88</v>
      </c>
      <c r="B1433" s="2" t="s">
        <v>1826</v>
      </c>
      <c r="C1433" s="2" t="s">
        <v>484</v>
      </c>
      <c r="D1433" s="2" t="s">
        <v>190</v>
      </c>
      <c r="E1433" s="2" t="s">
        <v>1840</v>
      </c>
      <c r="F1433" s="3">
        <v>4.1900000000000004</v>
      </c>
    </row>
    <row r="1434" spans="1:6" ht="15" customHeight="1" x14ac:dyDescent="0.25">
      <c r="A1434" s="2" t="s">
        <v>90</v>
      </c>
      <c r="B1434" s="2" t="s">
        <v>1841</v>
      </c>
      <c r="C1434" s="2" t="s">
        <v>484</v>
      </c>
      <c r="D1434" s="2" t="s">
        <v>129</v>
      </c>
      <c r="E1434" s="2" t="s">
        <v>1842</v>
      </c>
      <c r="F1434" s="3">
        <v>14.68</v>
      </c>
    </row>
    <row r="1435" spans="1:6" ht="15" customHeight="1" x14ac:dyDescent="0.25">
      <c r="A1435" s="2" t="s">
        <v>90</v>
      </c>
      <c r="B1435" s="2" t="s">
        <v>1841</v>
      </c>
      <c r="C1435" s="2" t="s">
        <v>486</v>
      </c>
      <c r="D1435" s="2" t="s">
        <v>129</v>
      </c>
      <c r="E1435" s="2" t="s">
        <v>1843</v>
      </c>
      <c r="F1435" s="3">
        <v>-2.2000000000000002</v>
      </c>
    </row>
    <row r="1436" spans="1:6" ht="15" customHeight="1" x14ac:dyDescent="0.25">
      <c r="A1436" s="2" t="s">
        <v>90</v>
      </c>
      <c r="B1436" s="2" t="s">
        <v>1841</v>
      </c>
      <c r="C1436" s="2" t="s">
        <v>486</v>
      </c>
      <c r="D1436" s="2" t="s">
        <v>218</v>
      </c>
      <c r="E1436" s="2" t="s">
        <v>1844</v>
      </c>
      <c r="F1436" s="3">
        <v>-0.83</v>
      </c>
    </row>
    <row r="1437" spans="1:6" ht="15" customHeight="1" x14ac:dyDescent="0.25">
      <c r="A1437" s="2" t="s">
        <v>90</v>
      </c>
      <c r="B1437" s="2" t="s">
        <v>1841</v>
      </c>
      <c r="C1437" s="2" t="s">
        <v>484</v>
      </c>
      <c r="D1437" s="2" t="s">
        <v>218</v>
      </c>
      <c r="E1437" s="2" t="s">
        <v>1845</v>
      </c>
      <c r="F1437" s="3">
        <v>5.56</v>
      </c>
    </row>
    <row r="1438" spans="1:6" ht="15" customHeight="1" x14ac:dyDescent="0.25">
      <c r="A1438" s="2" t="s">
        <v>90</v>
      </c>
      <c r="B1438" s="2" t="s">
        <v>1846</v>
      </c>
      <c r="C1438" s="2" t="s">
        <v>486</v>
      </c>
      <c r="D1438" s="2" t="s">
        <v>127</v>
      </c>
      <c r="E1438" s="2" t="s">
        <v>1847</v>
      </c>
      <c r="F1438" s="3">
        <v>-1.81</v>
      </c>
    </row>
    <row r="1439" spans="1:6" ht="15" customHeight="1" x14ac:dyDescent="0.25">
      <c r="A1439" s="2" t="s">
        <v>90</v>
      </c>
      <c r="B1439" s="2" t="s">
        <v>1846</v>
      </c>
      <c r="C1439" s="2" t="s">
        <v>484</v>
      </c>
      <c r="D1439" s="2" t="s">
        <v>127</v>
      </c>
      <c r="E1439" s="2" t="s">
        <v>1848</v>
      </c>
      <c r="F1439" s="3">
        <v>12.08</v>
      </c>
    </row>
    <row r="1440" spans="1:6" ht="15" customHeight="1" x14ac:dyDescent="0.25">
      <c r="A1440" s="2" t="s">
        <v>90</v>
      </c>
      <c r="B1440" s="2" t="s">
        <v>1846</v>
      </c>
      <c r="C1440" s="2" t="s">
        <v>484</v>
      </c>
      <c r="D1440" s="2" t="s">
        <v>166</v>
      </c>
      <c r="E1440" s="2" t="s">
        <v>1849</v>
      </c>
      <c r="F1440" s="3">
        <v>2.98</v>
      </c>
    </row>
    <row r="1441" spans="1:6" ht="15" customHeight="1" x14ac:dyDescent="0.25">
      <c r="A1441" s="2" t="s">
        <v>90</v>
      </c>
      <c r="B1441" s="2" t="s">
        <v>1846</v>
      </c>
      <c r="C1441" s="2" t="s">
        <v>486</v>
      </c>
      <c r="D1441" s="2" t="s">
        <v>166</v>
      </c>
      <c r="E1441" s="2" t="s">
        <v>1689</v>
      </c>
      <c r="F1441" s="3">
        <v>-0.44</v>
      </c>
    </row>
    <row r="1442" spans="1:6" ht="15" customHeight="1" x14ac:dyDescent="0.25">
      <c r="A1442" s="2" t="s">
        <v>90</v>
      </c>
      <c r="B1442" s="2" t="s">
        <v>1846</v>
      </c>
      <c r="C1442" s="2" t="s">
        <v>484</v>
      </c>
      <c r="D1442" s="2" t="s">
        <v>185</v>
      </c>
      <c r="E1442" s="2" t="s">
        <v>1850</v>
      </c>
      <c r="F1442" s="3">
        <v>1.77</v>
      </c>
    </row>
    <row r="1443" spans="1:6" ht="15" customHeight="1" x14ac:dyDescent="0.25">
      <c r="A1443" s="2" t="s">
        <v>90</v>
      </c>
      <c r="B1443" s="2" t="s">
        <v>1846</v>
      </c>
      <c r="C1443" s="2" t="s">
        <v>486</v>
      </c>
      <c r="D1443" s="2" t="s">
        <v>185</v>
      </c>
      <c r="E1443" s="2" t="s">
        <v>1851</v>
      </c>
      <c r="F1443" s="3">
        <v>-0.26</v>
      </c>
    </row>
    <row r="1444" spans="1:6" ht="15" customHeight="1" x14ac:dyDescent="0.25">
      <c r="A1444" s="2" t="s">
        <v>90</v>
      </c>
      <c r="B1444" s="2" t="s">
        <v>1846</v>
      </c>
      <c r="C1444" s="2" t="s">
        <v>486</v>
      </c>
      <c r="D1444" s="2" t="s">
        <v>143</v>
      </c>
      <c r="E1444" s="2" t="s">
        <v>1852</v>
      </c>
      <c r="F1444" s="3">
        <v>-1.55</v>
      </c>
    </row>
    <row r="1445" spans="1:6" ht="15" customHeight="1" x14ac:dyDescent="0.25">
      <c r="A1445" s="2" t="s">
        <v>90</v>
      </c>
      <c r="B1445" s="2" t="s">
        <v>1846</v>
      </c>
      <c r="C1445" s="2" t="s">
        <v>484</v>
      </c>
      <c r="D1445" s="2" t="s">
        <v>143</v>
      </c>
      <c r="E1445" s="2" t="s">
        <v>1853</v>
      </c>
      <c r="F1445" s="3">
        <v>10.37</v>
      </c>
    </row>
    <row r="1446" spans="1:6" ht="15" customHeight="1" x14ac:dyDescent="0.25">
      <c r="A1446" s="2" t="s">
        <v>90</v>
      </c>
      <c r="B1446" s="2" t="s">
        <v>1846</v>
      </c>
      <c r="C1446" s="2" t="s">
        <v>486</v>
      </c>
      <c r="D1446" s="2" t="s">
        <v>115</v>
      </c>
      <c r="E1446" s="2" t="s">
        <v>1854</v>
      </c>
      <c r="F1446" s="3">
        <v>-3.02</v>
      </c>
    </row>
    <row r="1447" spans="1:6" ht="15" customHeight="1" x14ac:dyDescent="0.25">
      <c r="A1447" s="2" t="s">
        <v>90</v>
      </c>
      <c r="B1447" s="2" t="s">
        <v>1846</v>
      </c>
      <c r="C1447" s="2" t="s">
        <v>484</v>
      </c>
      <c r="D1447" s="2" t="s">
        <v>115</v>
      </c>
      <c r="E1447" s="2" t="s">
        <v>1855</v>
      </c>
      <c r="F1447" s="3">
        <v>20.149999999999999</v>
      </c>
    </row>
    <row r="1448" spans="1:6" ht="15" customHeight="1" x14ac:dyDescent="0.25">
      <c r="A1448" s="2" t="s">
        <v>90</v>
      </c>
      <c r="B1448" s="2" t="s">
        <v>1846</v>
      </c>
      <c r="C1448" s="2" t="s">
        <v>484</v>
      </c>
      <c r="D1448" s="2" t="s">
        <v>119</v>
      </c>
      <c r="E1448" s="2" t="s">
        <v>1856</v>
      </c>
      <c r="F1448" s="3">
        <v>14.15</v>
      </c>
    </row>
    <row r="1449" spans="1:6" ht="15" customHeight="1" x14ac:dyDescent="0.25">
      <c r="A1449" s="2" t="s">
        <v>90</v>
      </c>
      <c r="B1449" s="2" t="s">
        <v>1846</v>
      </c>
      <c r="C1449" s="2" t="s">
        <v>486</v>
      </c>
      <c r="D1449" s="2" t="s">
        <v>119</v>
      </c>
      <c r="E1449" s="2" t="s">
        <v>1857</v>
      </c>
      <c r="F1449" s="3">
        <v>-2.12</v>
      </c>
    </row>
    <row r="1450" spans="1:6" ht="15" customHeight="1" x14ac:dyDescent="0.25">
      <c r="A1450" s="2" t="s">
        <v>90</v>
      </c>
      <c r="B1450" s="2" t="s">
        <v>1846</v>
      </c>
      <c r="C1450" s="2" t="s">
        <v>486</v>
      </c>
      <c r="D1450" s="2" t="s">
        <v>162</v>
      </c>
      <c r="E1450" s="2" t="s">
        <v>1858</v>
      </c>
      <c r="F1450" s="3">
        <v>-1.07</v>
      </c>
    </row>
    <row r="1451" spans="1:6" ht="15" customHeight="1" x14ac:dyDescent="0.25">
      <c r="A1451" s="2" t="s">
        <v>90</v>
      </c>
      <c r="B1451" s="2" t="s">
        <v>1846</v>
      </c>
      <c r="C1451" s="2" t="s">
        <v>484</v>
      </c>
      <c r="D1451" s="2" t="s">
        <v>162</v>
      </c>
      <c r="E1451" s="2" t="s">
        <v>1859</v>
      </c>
      <c r="F1451" s="3">
        <v>7.16</v>
      </c>
    </row>
    <row r="1452" spans="1:6" ht="15" customHeight="1" x14ac:dyDescent="0.25">
      <c r="A1452" s="2" t="s">
        <v>90</v>
      </c>
      <c r="B1452" s="2" t="s">
        <v>1846</v>
      </c>
      <c r="C1452" s="2" t="s">
        <v>486</v>
      </c>
      <c r="D1452" s="2" t="s">
        <v>164</v>
      </c>
      <c r="E1452" s="2" t="s">
        <v>1421</v>
      </c>
      <c r="F1452" s="3">
        <v>-0.4</v>
      </c>
    </row>
    <row r="1453" spans="1:6" ht="15" customHeight="1" x14ac:dyDescent="0.25">
      <c r="A1453" s="2" t="s">
        <v>90</v>
      </c>
      <c r="B1453" s="2" t="s">
        <v>1846</v>
      </c>
      <c r="C1453" s="2" t="s">
        <v>484</v>
      </c>
      <c r="D1453" s="2" t="s">
        <v>164</v>
      </c>
      <c r="E1453" s="2" t="s">
        <v>1860</v>
      </c>
      <c r="F1453" s="3">
        <v>2.69</v>
      </c>
    </row>
    <row r="1454" spans="1:6" ht="15" customHeight="1" x14ac:dyDescent="0.25">
      <c r="A1454" s="2" t="s">
        <v>90</v>
      </c>
      <c r="B1454" s="2" t="s">
        <v>451</v>
      </c>
      <c r="C1454" s="2" t="s">
        <v>484</v>
      </c>
      <c r="D1454" s="2" t="s">
        <v>140</v>
      </c>
      <c r="E1454" s="2" t="s">
        <v>1861</v>
      </c>
      <c r="F1454" s="3">
        <v>3.05</v>
      </c>
    </row>
    <row r="1455" spans="1:6" ht="15" customHeight="1" x14ac:dyDescent="0.25">
      <c r="A1455" s="2" t="s">
        <v>90</v>
      </c>
      <c r="B1455" s="2" t="s">
        <v>451</v>
      </c>
      <c r="C1455" s="2" t="s">
        <v>486</v>
      </c>
      <c r="D1455" s="2" t="s">
        <v>140</v>
      </c>
      <c r="E1455" s="2" t="s">
        <v>1862</v>
      </c>
      <c r="F1455" s="3">
        <v>-0.45</v>
      </c>
    </row>
    <row r="1456" spans="1:6" ht="15" customHeight="1" x14ac:dyDescent="0.25">
      <c r="A1456" s="2" t="s">
        <v>90</v>
      </c>
      <c r="B1456" s="2" t="s">
        <v>451</v>
      </c>
      <c r="C1456" s="2" t="s">
        <v>486</v>
      </c>
      <c r="D1456" s="2" t="s">
        <v>158</v>
      </c>
      <c r="E1456" s="2" t="s">
        <v>1715</v>
      </c>
      <c r="F1456" s="3">
        <v>-0.84</v>
      </c>
    </row>
    <row r="1457" spans="1:6" ht="15" customHeight="1" x14ac:dyDescent="0.25">
      <c r="A1457" s="2" t="s">
        <v>90</v>
      </c>
      <c r="B1457" s="2" t="s">
        <v>451</v>
      </c>
      <c r="C1457" s="2" t="s">
        <v>484</v>
      </c>
      <c r="D1457" s="2" t="s">
        <v>158</v>
      </c>
      <c r="E1457" s="2" t="s">
        <v>1863</v>
      </c>
      <c r="F1457" s="3">
        <v>5.66</v>
      </c>
    </row>
    <row r="1458" spans="1:6" ht="15" customHeight="1" x14ac:dyDescent="0.25">
      <c r="A1458" s="2" t="s">
        <v>90</v>
      </c>
      <c r="B1458" s="2" t="s">
        <v>451</v>
      </c>
      <c r="C1458" s="2" t="s">
        <v>486</v>
      </c>
      <c r="D1458" s="2" t="s">
        <v>132</v>
      </c>
      <c r="E1458" s="2" t="s">
        <v>1864</v>
      </c>
      <c r="F1458" s="3">
        <v>-1.29</v>
      </c>
    </row>
    <row r="1459" spans="1:6" ht="15" customHeight="1" x14ac:dyDescent="0.25">
      <c r="A1459" s="2" t="s">
        <v>90</v>
      </c>
      <c r="B1459" s="2" t="s">
        <v>451</v>
      </c>
      <c r="C1459" s="2" t="s">
        <v>484</v>
      </c>
      <c r="D1459" s="2" t="s">
        <v>132</v>
      </c>
      <c r="E1459" s="2" t="s">
        <v>1865</v>
      </c>
      <c r="F1459" s="3">
        <v>8.65</v>
      </c>
    </row>
    <row r="1460" spans="1:6" ht="15" customHeight="1" x14ac:dyDescent="0.25">
      <c r="A1460" s="2" t="s">
        <v>90</v>
      </c>
      <c r="B1460" s="2" t="s">
        <v>451</v>
      </c>
      <c r="C1460" s="2" t="s">
        <v>486</v>
      </c>
      <c r="D1460" s="2" t="s">
        <v>152</v>
      </c>
      <c r="E1460" s="2" t="s">
        <v>1866</v>
      </c>
      <c r="F1460" s="3">
        <v>-0.54</v>
      </c>
    </row>
    <row r="1461" spans="1:6" ht="15" customHeight="1" x14ac:dyDescent="0.25">
      <c r="A1461" s="2" t="s">
        <v>90</v>
      </c>
      <c r="B1461" s="2" t="s">
        <v>451</v>
      </c>
      <c r="C1461" s="2" t="s">
        <v>484</v>
      </c>
      <c r="D1461" s="2" t="s">
        <v>152</v>
      </c>
      <c r="E1461" s="2" t="s">
        <v>1867</v>
      </c>
      <c r="F1461" s="3">
        <v>3.66</v>
      </c>
    </row>
    <row r="1462" spans="1:6" ht="15" customHeight="1" x14ac:dyDescent="0.25">
      <c r="A1462" s="2" t="s">
        <v>90</v>
      </c>
      <c r="B1462" s="2" t="s">
        <v>451</v>
      </c>
      <c r="C1462" s="2" t="s">
        <v>486</v>
      </c>
      <c r="D1462" s="2" t="s">
        <v>145</v>
      </c>
      <c r="E1462" s="2" t="s">
        <v>952</v>
      </c>
      <c r="F1462" s="3">
        <v>-0.75</v>
      </c>
    </row>
    <row r="1463" spans="1:6" ht="15" customHeight="1" x14ac:dyDescent="0.25">
      <c r="A1463" s="2" t="s">
        <v>90</v>
      </c>
      <c r="B1463" s="2" t="s">
        <v>451</v>
      </c>
      <c r="C1463" s="2" t="s">
        <v>484</v>
      </c>
      <c r="D1463" s="2" t="s">
        <v>145</v>
      </c>
      <c r="E1463" s="2" t="s">
        <v>1868</v>
      </c>
      <c r="F1463" s="3">
        <v>5</v>
      </c>
    </row>
    <row r="1464" spans="1:6" ht="15" customHeight="1" x14ac:dyDescent="0.25">
      <c r="A1464" s="2" t="s">
        <v>90</v>
      </c>
      <c r="B1464" s="2" t="s">
        <v>451</v>
      </c>
      <c r="C1464" s="2" t="s">
        <v>486</v>
      </c>
      <c r="D1464" s="2" t="s">
        <v>194</v>
      </c>
      <c r="E1464" s="2" t="s">
        <v>1869</v>
      </c>
      <c r="F1464" s="3">
        <v>-0.75</v>
      </c>
    </row>
    <row r="1465" spans="1:6" ht="15" customHeight="1" x14ac:dyDescent="0.25">
      <c r="A1465" s="2" t="s">
        <v>90</v>
      </c>
      <c r="B1465" s="2" t="s">
        <v>451</v>
      </c>
      <c r="C1465" s="2" t="s">
        <v>484</v>
      </c>
      <c r="D1465" s="2" t="s">
        <v>194</v>
      </c>
      <c r="E1465" s="2" t="s">
        <v>1870</v>
      </c>
      <c r="F1465" s="3">
        <v>5.03</v>
      </c>
    </row>
    <row r="1466" spans="1:6" ht="15" customHeight="1" x14ac:dyDescent="0.25">
      <c r="A1466" s="2" t="s">
        <v>90</v>
      </c>
      <c r="B1466" s="2" t="s">
        <v>1871</v>
      </c>
      <c r="C1466" s="2" t="s">
        <v>486</v>
      </c>
      <c r="D1466" s="2" t="s">
        <v>183</v>
      </c>
      <c r="E1466" s="2" t="s">
        <v>919</v>
      </c>
      <c r="F1466" s="3">
        <v>-0.55000000000000004</v>
      </c>
    </row>
    <row r="1467" spans="1:6" ht="15" customHeight="1" x14ac:dyDescent="0.25">
      <c r="A1467" s="2" t="s">
        <v>90</v>
      </c>
      <c r="B1467" s="2" t="s">
        <v>1871</v>
      </c>
      <c r="C1467" s="2" t="s">
        <v>484</v>
      </c>
      <c r="D1467" s="2" t="s">
        <v>183</v>
      </c>
      <c r="E1467" s="2" t="s">
        <v>1872</v>
      </c>
      <c r="F1467" s="3">
        <v>3.71</v>
      </c>
    </row>
    <row r="1468" spans="1:6" ht="15" customHeight="1" x14ac:dyDescent="0.25">
      <c r="A1468" s="2" t="s">
        <v>90</v>
      </c>
      <c r="B1468" s="2" t="s">
        <v>1873</v>
      </c>
      <c r="C1468" s="2" t="s">
        <v>486</v>
      </c>
      <c r="D1468" s="2" t="s">
        <v>196</v>
      </c>
      <c r="E1468" s="2" t="s">
        <v>1874</v>
      </c>
      <c r="F1468" s="3">
        <v>-0.81</v>
      </c>
    </row>
    <row r="1469" spans="1:6" ht="15" customHeight="1" x14ac:dyDescent="0.25">
      <c r="A1469" s="2" t="s">
        <v>90</v>
      </c>
      <c r="B1469" s="2" t="s">
        <v>1873</v>
      </c>
      <c r="C1469" s="2" t="s">
        <v>484</v>
      </c>
      <c r="D1469" s="2" t="s">
        <v>196</v>
      </c>
      <c r="E1469" s="2" t="s">
        <v>1875</v>
      </c>
      <c r="F1469" s="3">
        <v>5.4</v>
      </c>
    </row>
    <row r="1470" spans="1:6" ht="15" customHeight="1" x14ac:dyDescent="0.25">
      <c r="A1470" s="2" t="s">
        <v>90</v>
      </c>
      <c r="B1470" s="2" t="s">
        <v>453</v>
      </c>
      <c r="C1470" s="2" t="s">
        <v>486</v>
      </c>
      <c r="D1470" s="2" t="s">
        <v>215</v>
      </c>
      <c r="E1470" s="2" t="s">
        <v>1782</v>
      </c>
      <c r="F1470" s="3">
        <v>-1.95</v>
      </c>
    </row>
    <row r="1471" spans="1:6" ht="15" customHeight="1" x14ac:dyDescent="0.25">
      <c r="A1471" s="2" t="s">
        <v>90</v>
      </c>
      <c r="B1471" s="2" t="s">
        <v>453</v>
      </c>
      <c r="C1471" s="2" t="s">
        <v>484</v>
      </c>
      <c r="D1471" s="2" t="s">
        <v>215</v>
      </c>
      <c r="E1471" s="2" t="s">
        <v>1876</v>
      </c>
      <c r="F1471" s="3">
        <v>13</v>
      </c>
    </row>
    <row r="1472" spans="1:6" ht="15" customHeight="1" x14ac:dyDescent="0.25">
      <c r="A1472" s="2" t="s">
        <v>90</v>
      </c>
      <c r="B1472" s="2" t="s">
        <v>453</v>
      </c>
      <c r="C1472" s="2" t="s">
        <v>484</v>
      </c>
      <c r="D1472" s="2" t="s">
        <v>179</v>
      </c>
      <c r="E1472" s="2" t="s">
        <v>1877</v>
      </c>
      <c r="F1472" s="3">
        <v>24.7</v>
      </c>
    </row>
    <row r="1473" spans="1:6" ht="15" customHeight="1" x14ac:dyDescent="0.25">
      <c r="A1473" s="2" t="s">
        <v>90</v>
      </c>
      <c r="B1473" s="2" t="s">
        <v>453</v>
      </c>
      <c r="C1473" s="2" t="s">
        <v>486</v>
      </c>
      <c r="D1473" s="2" t="s">
        <v>179</v>
      </c>
      <c r="E1473" s="2" t="s">
        <v>1878</v>
      </c>
      <c r="F1473" s="3">
        <v>-3.7</v>
      </c>
    </row>
    <row r="1474" spans="1:6" ht="15" customHeight="1" x14ac:dyDescent="0.25">
      <c r="A1474" s="2" t="s">
        <v>90</v>
      </c>
      <c r="B1474" s="2" t="s">
        <v>453</v>
      </c>
      <c r="C1474" s="2" t="s">
        <v>486</v>
      </c>
      <c r="D1474" s="2" t="s">
        <v>164</v>
      </c>
      <c r="E1474" s="2" t="s">
        <v>1879</v>
      </c>
      <c r="F1474" s="3">
        <v>-0.36</v>
      </c>
    </row>
    <row r="1475" spans="1:6" ht="15" customHeight="1" x14ac:dyDescent="0.25">
      <c r="A1475" s="2" t="s">
        <v>90</v>
      </c>
      <c r="B1475" s="2" t="s">
        <v>453</v>
      </c>
      <c r="C1475" s="2" t="s">
        <v>484</v>
      </c>
      <c r="D1475" s="2" t="s">
        <v>164</v>
      </c>
      <c r="E1475" s="2" t="s">
        <v>1880</v>
      </c>
      <c r="F1475" s="3">
        <v>2.4300000000000002</v>
      </c>
    </row>
    <row r="1476" spans="1:6" ht="15" customHeight="1" x14ac:dyDescent="0.25">
      <c r="A1476" s="2" t="s">
        <v>90</v>
      </c>
      <c r="B1476" s="2" t="s">
        <v>1881</v>
      </c>
      <c r="C1476" s="2" t="s">
        <v>486</v>
      </c>
      <c r="D1476" s="2" t="s">
        <v>194</v>
      </c>
      <c r="E1476" s="2" t="s">
        <v>1882</v>
      </c>
      <c r="F1476" s="3">
        <v>-0.8</v>
      </c>
    </row>
    <row r="1477" spans="1:6" ht="15" customHeight="1" x14ac:dyDescent="0.25">
      <c r="A1477" s="2" t="s">
        <v>90</v>
      </c>
      <c r="B1477" s="2" t="s">
        <v>1881</v>
      </c>
      <c r="C1477" s="2" t="s">
        <v>484</v>
      </c>
      <c r="D1477" s="2" t="s">
        <v>194</v>
      </c>
      <c r="E1477" s="2" t="s">
        <v>1883</v>
      </c>
      <c r="F1477" s="3">
        <v>5.38</v>
      </c>
    </row>
    <row r="1478" spans="1:6" ht="15" customHeight="1" x14ac:dyDescent="0.25">
      <c r="A1478" s="2" t="s">
        <v>90</v>
      </c>
      <c r="B1478" s="2" t="s">
        <v>1881</v>
      </c>
      <c r="C1478" s="2" t="s">
        <v>486</v>
      </c>
      <c r="D1478" s="2" t="s">
        <v>140</v>
      </c>
      <c r="E1478" s="2" t="s">
        <v>1408</v>
      </c>
      <c r="F1478" s="3">
        <v>-0.41</v>
      </c>
    </row>
    <row r="1479" spans="1:6" ht="15" customHeight="1" x14ac:dyDescent="0.25">
      <c r="A1479" s="2" t="s">
        <v>90</v>
      </c>
      <c r="B1479" s="2" t="s">
        <v>1881</v>
      </c>
      <c r="C1479" s="2" t="s">
        <v>484</v>
      </c>
      <c r="D1479" s="2" t="s">
        <v>140</v>
      </c>
      <c r="E1479" s="2" t="s">
        <v>1884</v>
      </c>
      <c r="F1479" s="3">
        <v>2.75</v>
      </c>
    </row>
    <row r="1480" spans="1:6" ht="15" customHeight="1" x14ac:dyDescent="0.25">
      <c r="A1480" s="2" t="s">
        <v>90</v>
      </c>
      <c r="B1480" s="2" t="s">
        <v>1881</v>
      </c>
      <c r="C1480" s="2" t="s">
        <v>484</v>
      </c>
      <c r="D1480" s="2" t="s">
        <v>158</v>
      </c>
      <c r="E1480" s="2" t="s">
        <v>1885</v>
      </c>
      <c r="F1480" s="3">
        <v>1.78</v>
      </c>
    </row>
    <row r="1481" spans="1:6" ht="15" customHeight="1" x14ac:dyDescent="0.25">
      <c r="A1481" s="2" t="s">
        <v>90</v>
      </c>
      <c r="B1481" s="2" t="s">
        <v>1881</v>
      </c>
      <c r="C1481" s="2" t="s">
        <v>486</v>
      </c>
      <c r="D1481" s="2" t="s">
        <v>158</v>
      </c>
      <c r="E1481" s="2" t="s">
        <v>1044</v>
      </c>
      <c r="F1481" s="3">
        <v>-0.26</v>
      </c>
    </row>
    <row r="1482" spans="1:6" ht="15" customHeight="1" x14ac:dyDescent="0.25">
      <c r="A1482" s="2" t="s">
        <v>90</v>
      </c>
      <c r="B1482" s="2" t="s">
        <v>1881</v>
      </c>
      <c r="C1482" s="2" t="s">
        <v>484</v>
      </c>
      <c r="D1482" s="2" t="s">
        <v>132</v>
      </c>
      <c r="E1482" s="2" t="s">
        <v>1886</v>
      </c>
      <c r="F1482" s="3">
        <v>7.38</v>
      </c>
    </row>
    <row r="1483" spans="1:6" ht="15" customHeight="1" x14ac:dyDescent="0.25">
      <c r="A1483" s="2" t="s">
        <v>90</v>
      </c>
      <c r="B1483" s="2" t="s">
        <v>1881</v>
      </c>
      <c r="C1483" s="2" t="s">
        <v>486</v>
      </c>
      <c r="D1483" s="2" t="s">
        <v>132</v>
      </c>
      <c r="E1483" s="2" t="s">
        <v>1887</v>
      </c>
      <c r="F1483" s="3">
        <v>-1.1000000000000001</v>
      </c>
    </row>
    <row r="1484" spans="1:6" ht="15" customHeight="1" x14ac:dyDescent="0.25">
      <c r="A1484" s="2" t="s">
        <v>90</v>
      </c>
      <c r="B1484" s="2" t="s">
        <v>1881</v>
      </c>
      <c r="C1484" s="2" t="s">
        <v>486</v>
      </c>
      <c r="D1484" s="2" t="s">
        <v>152</v>
      </c>
      <c r="E1484" s="2" t="s">
        <v>1888</v>
      </c>
      <c r="F1484" s="3">
        <v>-0.52</v>
      </c>
    </row>
    <row r="1485" spans="1:6" ht="15" customHeight="1" x14ac:dyDescent="0.25">
      <c r="A1485" s="2" t="s">
        <v>90</v>
      </c>
      <c r="B1485" s="2" t="s">
        <v>1881</v>
      </c>
      <c r="C1485" s="2" t="s">
        <v>484</v>
      </c>
      <c r="D1485" s="2" t="s">
        <v>152</v>
      </c>
      <c r="E1485" s="2" t="s">
        <v>1889</v>
      </c>
      <c r="F1485" s="3">
        <v>3.53</v>
      </c>
    </row>
    <row r="1486" spans="1:6" ht="15" customHeight="1" x14ac:dyDescent="0.25">
      <c r="A1486" s="2" t="s">
        <v>90</v>
      </c>
      <c r="B1486" s="2" t="s">
        <v>1881</v>
      </c>
      <c r="C1486" s="2" t="s">
        <v>486</v>
      </c>
      <c r="D1486" s="2" t="s">
        <v>145</v>
      </c>
      <c r="E1486" s="2" t="s">
        <v>1102</v>
      </c>
      <c r="F1486" s="3">
        <v>-0.84</v>
      </c>
    </row>
    <row r="1487" spans="1:6" ht="15" customHeight="1" x14ac:dyDescent="0.25">
      <c r="A1487" s="2" t="s">
        <v>90</v>
      </c>
      <c r="B1487" s="2" t="s">
        <v>1881</v>
      </c>
      <c r="C1487" s="2" t="s">
        <v>484</v>
      </c>
      <c r="D1487" s="2" t="s">
        <v>145</v>
      </c>
      <c r="E1487" s="2" t="s">
        <v>1890</v>
      </c>
      <c r="F1487" s="3">
        <v>5.62</v>
      </c>
    </row>
    <row r="1488" spans="1:6" ht="15" customHeight="1" x14ac:dyDescent="0.25">
      <c r="A1488" s="2" t="s">
        <v>90</v>
      </c>
      <c r="B1488" s="2" t="s">
        <v>1881</v>
      </c>
      <c r="C1488" s="2" t="s">
        <v>486</v>
      </c>
      <c r="D1488" s="2" t="s">
        <v>154</v>
      </c>
      <c r="E1488" s="2" t="s">
        <v>1256</v>
      </c>
      <c r="F1488" s="3">
        <v>-0.28000000000000003</v>
      </c>
    </row>
    <row r="1489" spans="1:6" ht="15" customHeight="1" x14ac:dyDescent="0.25">
      <c r="A1489" s="2" t="s">
        <v>90</v>
      </c>
      <c r="B1489" s="2" t="s">
        <v>1881</v>
      </c>
      <c r="C1489" s="2" t="s">
        <v>484</v>
      </c>
      <c r="D1489" s="2" t="s">
        <v>154</v>
      </c>
      <c r="E1489" s="2" t="s">
        <v>1891</v>
      </c>
      <c r="F1489" s="3">
        <v>1.89</v>
      </c>
    </row>
    <row r="1490" spans="1:6" ht="15" customHeight="1" x14ac:dyDescent="0.25">
      <c r="A1490" s="2" t="s">
        <v>90</v>
      </c>
      <c r="B1490" s="2" t="s">
        <v>454</v>
      </c>
      <c r="C1490" s="2" t="s">
        <v>486</v>
      </c>
      <c r="D1490" s="2" t="s">
        <v>164</v>
      </c>
      <c r="E1490" s="2" t="s">
        <v>1445</v>
      </c>
      <c r="F1490" s="3">
        <v>-0.38</v>
      </c>
    </row>
    <row r="1491" spans="1:6" ht="15" customHeight="1" x14ac:dyDescent="0.25">
      <c r="A1491" s="2" t="s">
        <v>90</v>
      </c>
      <c r="B1491" s="2" t="s">
        <v>454</v>
      </c>
      <c r="C1491" s="2" t="s">
        <v>484</v>
      </c>
      <c r="D1491" s="2" t="s">
        <v>164</v>
      </c>
      <c r="E1491" s="2" t="s">
        <v>1892</v>
      </c>
      <c r="F1491" s="3">
        <v>2.54</v>
      </c>
    </row>
    <row r="1492" spans="1:6" ht="15" customHeight="1" x14ac:dyDescent="0.25">
      <c r="A1492" s="2" t="s">
        <v>90</v>
      </c>
      <c r="B1492" s="2" t="s">
        <v>1893</v>
      </c>
      <c r="C1492" s="2" t="s">
        <v>484</v>
      </c>
      <c r="D1492" s="2" t="s">
        <v>140</v>
      </c>
      <c r="E1492" s="2" t="s">
        <v>1894</v>
      </c>
      <c r="F1492" s="3">
        <v>3.22</v>
      </c>
    </row>
    <row r="1493" spans="1:6" ht="15" customHeight="1" x14ac:dyDescent="0.25">
      <c r="A1493" s="2" t="s">
        <v>90</v>
      </c>
      <c r="B1493" s="2" t="s">
        <v>1893</v>
      </c>
      <c r="C1493" s="2" t="s">
        <v>486</v>
      </c>
      <c r="D1493" s="2" t="s">
        <v>140</v>
      </c>
      <c r="E1493" s="2" t="s">
        <v>1895</v>
      </c>
      <c r="F1493" s="3">
        <v>-0.48</v>
      </c>
    </row>
    <row r="1494" spans="1:6" ht="15" customHeight="1" x14ac:dyDescent="0.25">
      <c r="A1494" s="2" t="s">
        <v>90</v>
      </c>
      <c r="B1494" s="2" t="s">
        <v>1893</v>
      </c>
      <c r="C1494" s="2" t="s">
        <v>486</v>
      </c>
      <c r="D1494" s="2" t="s">
        <v>158</v>
      </c>
      <c r="E1494" s="2" t="s">
        <v>1896</v>
      </c>
      <c r="F1494" s="3">
        <v>-0.27</v>
      </c>
    </row>
    <row r="1495" spans="1:6" ht="15" customHeight="1" x14ac:dyDescent="0.25">
      <c r="A1495" s="2" t="s">
        <v>90</v>
      </c>
      <c r="B1495" s="2" t="s">
        <v>1893</v>
      </c>
      <c r="C1495" s="2" t="s">
        <v>484</v>
      </c>
      <c r="D1495" s="2" t="s">
        <v>158</v>
      </c>
      <c r="E1495" s="2" t="s">
        <v>1897</v>
      </c>
      <c r="F1495" s="3">
        <v>1.86</v>
      </c>
    </row>
    <row r="1496" spans="1:6" ht="15" customHeight="1" x14ac:dyDescent="0.25">
      <c r="A1496" s="2" t="s">
        <v>90</v>
      </c>
      <c r="B1496" s="2" t="s">
        <v>1893</v>
      </c>
      <c r="C1496" s="2" t="s">
        <v>484</v>
      </c>
      <c r="D1496" s="2" t="s">
        <v>132</v>
      </c>
      <c r="E1496" s="2" t="s">
        <v>1898</v>
      </c>
      <c r="F1496" s="3">
        <v>7.83</v>
      </c>
    </row>
    <row r="1497" spans="1:6" ht="15" customHeight="1" x14ac:dyDescent="0.25">
      <c r="A1497" s="2" t="s">
        <v>90</v>
      </c>
      <c r="B1497" s="2" t="s">
        <v>1893</v>
      </c>
      <c r="C1497" s="2" t="s">
        <v>486</v>
      </c>
      <c r="D1497" s="2" t="s">
        <v>132</v>
      </c>
      <c r="E1497" s="2" t="s">
        <v>1899</v>
      </c>
      <c r="F1497" s="3">
        <v>-1.17</v>
      </c>
    </row>
    <row r="1498" spans="1:6" ht="15" customHeight="1" x14ac:dyDescent="0.25">
      <c r="A1498" s="2" t="s">
        <v>90</v>
      </c>
      <c r="B1498" s="2" t="s">
        <v>1893</v>
      </c>
      <c r="C1498" s="2" t="s">
        <v>486</v>
      </c>
      <c r="D1498" s="2" t="s">
        <v>152</v>
      </c>
      <c r="E1498" s="2" t="s">
        <v>1900</v>
      </c>
      <c r="F1498" s="3">
        <v>-0.64</v>
      </c>
    </row>
    <row r="1499" spans="1:6" ht="15" customHeight="1" x14ac:dyDescent="0.25">
      <c r="A1499" s="2" t="s">
        <v>90</v>
      </c>
      <c r="B1499" s="2" t="s">
        <v>1893</v>
      </c>
      <c r="C1499" s="2" t="s">
        <v>484</v>
      </c>
      <c r="D1499" s="2" t="s">
        <v>152</v>
      </c>
      <c r="E1499" s="2" t="s">
        <v>1901</v>
      </c>
      <c r="F1499" s="3">
        <v>4.28</v>
      </c>
    </row>
    <row r="1500" spans="1:6" ht="15" customHeight="1" x14ac:dyDescent="0.25">
      <c r="A1500" s="2" t="s">
        <v>90</v>
      </c>
      <c r="B1500" s="2" t="s">
        <v>1893</v>
      </c>
      <c r="C1500" s="2" t="s">
        <v>484</v>
      </c>
      <c r="D1500" s="2" t="s">
        <v>145</v>
      </c>
      <c r="E1500" s="2" t="s">
        <v>1902</v>
      </c>
      <c r="F1500" s="3">
        <v>5.0199999999999996</v>
      </c>
    </row>
    <row r="1501" spans="1:6" ht="15" customHeight="1" x14ac:dyDescent="0.25">
      <c r="A1501" s="2" t="s">
        <v>90</v>
      </c>
      <c r="B1501" s="2" t="s">
        <v>1893</v>
      </c>
      <c r="C1501" s="2" t="s">
        <v>486</v>
      </c>
      <c r="D1501" s="2" t="s">
        <v>145</v>
      </c>
      <c r="E1501" s="2" t="s">
        <v>1903</v>
      </c>
      <c r="F1501" s="3">
        <v>-0.75</v>
      </c>
    </row>
    <row r="1502" spans="1:6" ht="15" customHeight="1" x14ac:dyDescent="0.25">
      <c r="A1502" s="2" t="s">
        <v>90</v>
      </c>
      <c r="B1502" s="2" t="s">
        <v>1893</v>
      </c>
      <c r="C1502" s="2" t="s">
        <v>484</v>
      </c>
      <c r="D1502" s="2" t="s">
        <v>194</v>
      </c>
      <c r="E1502" s="2" t="s">
        <v>1904</v>
      </c>
      <c r="F1502" s="3">
        <v>5.41</v>
      </c>
    </row>
    <row r="1503" spans="1:6" ht="15" customHeight="1" x14ac:dyDescent="0.25">
      <c r="A1503" s="2" t="s">
        <v>90</v>
      </c>
      <c r="B1503" s="2" t="s">
        <v>1893</v>
      </c>
      <c r="C1503" s="2" t="s">
        <v>486</v>
      </c>
      <c r="D1503" s="2" t="s">
        <v>194</v>
      </c>
      <c r="E1503" s="2" t="s">
        <v>1130</v>
      </c>
      <c r="F1503" s="3">
        <v>-0.81</v>
      </c>
    </row>
    <row r="1504" spans="1:6" ht="15" customHeight="1" x14ac:dyDescent="0.25">
      <c r="A1504" s="2" t="s">
        <v>90</v>
      </c>
      <c r="B1504" s="2" t="s">
        <v>1905</v>
      </c>
      <c r="C1504" s="2" t="s">
        <v>484</v>
      </c>
      <c r="D1504" s="2" t="s">
        <v>164</v>
      </c>
      <c r="E1504" s="2" t="s">
        <v>1906</v>
      </c>
      <c r="F1504" s="3">
        <v>2.35</v>
      </c>
    </row>
    <row r="1505" spans="1:6" ht="15" customHeight="1" x14ac:dyDescent="0.25">
      <c r="A1505" s="2" t="s">
        <v>90</v>
      </c>
      <c r="B1505" s="2" t="s">
        <v>1905</v>
      </c>
      <c r="C1505" s="2" t="s">
        <v>486</v>
      </c>
      <c r="D1505" s="2" t="s">
        <v>164</v>
      </c>
      <c r="E1505" s="2" t="s">
        <v>726</v>
      </c>
      <c r="F1505" s="3">
        <v>-0.35</v>
      </c>
    </row>
    <row r="1506" spans="1:6" ht="15" customHeight="1" x14ac:dyDescent="0.25">
      <c r="A1506" s="2" t="s">
        <v>90</v>
      </c>
      <c r="B1506" s="2" t="s">
        <v>1907</v>
      </c>
      <c r="C1506" s="2" t="s">
        <v>484</v>
      </c>
      <c r="D1506" s="2" t="s">
        <v>158</v>
      </c>
      <c r="E1506" s="2" t="s">
        <v>1908</v>
      </c>
      <c r="F1506" s="3">
        <v>1.56</v>
      </c>
    </row>
    <row r="1507" spans="1:6" ht="15" customHeight="1" x14ac:dyDescent="0.25">
      <c r="A1507" s="2" t="s">
        <v>90</v>
      </c>
      <c r="B1507" s="2" t="s">
        <v>1907</v>
      </c>
      <c r="C1507" s="2" t="s">
        <v>486</v>
      </c>
      <c r="D1507" s="2" t="s">
        <v>158</v>
      </c>
      <c r="E1507" s="2" t="s">
        <v>1909</v>
      </c>
      <c r="F1507" s="3">
        <v>-0.23</v>
      </c>
    </row>
    <row r="1508" spans="1:6" ht="15" customHeight="1" x14ac:dyDescent="0.25">
      <c r="A1508" s="2" t="s">
        <v>90</v>
      </c>
      <c r="B1508" s="2" t="s">
        <v>1907</v>
      </c>
      <c r="C1508" s="2" t="s">
        <v>486</v>
      </c>
      <c r="D1508" s="2" t="s">
        <v>204</v>
      </c>
      <c r="E1508" s="2" t="s">
        <v>1352</v>
      </c>
      <c r="F1508" s="3">
        <v>-0.35</v>
      </c>
    </row>
    <row r="1509" spans="1:6" ht="15" customHeight="1" x14ac:dyDescent="0.25">
      <c r="A1509" s="2" t="s">
        <v>90</v>
      </c>
      <c r="B1509" s="2" t="s">
        <v>1907</v>
      </c>
      <c r="C1509" s="2" t="s">
        <v>484</v>
      </c>
      <c r="D1509" s="2" t="s">
        <v>204</v>
      </c>
      <c r="E1509" s="2" t="s">
        <v>1910</v>
      </c>
      <c r="F1509" s="3">
        <v>2.38</v>
      </c>
    </row>
    <row r="1510" spans="1:6" ht="15" customHeight="1" x14ac:dyDescent="0.25">
      <c r="A1510" s="2" t="s">
        <v>90</v>
      </c>
      <c r="B1510" s="2" t="s">
        <v>1907</v>
      </c>
      <c r="C1510" s="2" t="s">
        <v>486</v>
      </c>
      <c r="D1510" s="2" t="s">
        <v>170</v>
      </c>
      <c r="E1510" s="2" t="s">
        <v>964</v>
      </c>
      <c r="F1510" s="3">
        <v>-0.63</v>
      </c>
    </row>
    <row r="1511" spans="1:6" ht="15" customHeight="1" x14ac:dyDescent="0.25">
      <c r="A1511" s="2" t="s">
        <v>90</v>
      </c>
      <c r="B1511" s="2" t="s">
        <v>1907</v>
      </c>
      <c r="C1511" s="2" t="s">
        <v>484</v>
      </c>
      <c r="D1511" s="2" t="s">
        <v>170</v>
      </c>
      <c r="E1511" s="2" t="s">
        <v>1911</v>
      </c>
      <c r="F1511" s="3">
        <v>4.25</v>
      </c>
    </row>
    <row r="1512" spans="1:6" ht="15" customHeight="1" x14ac:dyDescent="0.25">
      <c r="A1512" s="2" t="s">
        <v>90</v>
      </c>
      <c r="B1512" s="2" t="s">
        <v>1907</v>
      </c>
      <c r="C1512" s="2" t="s">
        <v>484</v>
      </c>
      <c r="D1512" s="2" t="s">
        <v>132</v>
      </c>
      <c r="E1512" s="2" t="s">
        <v>1912</v>
      </c>
      <c r="F1512" s="3">
        <v>8.07</v>
      </c>
    </row>
    <row r="1513" spans="1:6" ht="15" customHeight="1" x14ac:dyDescent="0.25">
      <c r="A1513" s="2" t="s">
        <v>90</v>
      </c>
      <c r="B1513" s="2" t="s">
        <v>1907</v>
      </c>
      <c r="C1513" s="2" t="s">
        <v>486</v>
      </c>
      <c r="D1513" s="2" t="s">
        <v>132</v>
      </c>
      <c r="E1513" s="2" t="s">
        <v>1078</v>
      </c>
      <c r="F1513" s="3">
        <v>-1.21</v>
      </c>
    </row>
    <row r="1514" spans="1:6" ht="15" customHeight="1" x14ac:dyDescent="0.25">
      <c r="A1514" s="2" t="s">
        <v>90</v>
      </c>
      <c r="B1514" s="2" t="s">
        <v>1907</v>
      </c>
      <c r="C1514" s="2" t="s">
        <v>486</v>
      </c>
      <c r="D1514" s="2" t="s">
        <v>134</v>
      </c>
      <c r="E1514" s="2" t="s">
        <v>1913</v>
      </c>
      <c r="F1514" s="3">
        <v>-1.39</v>
      </c>
    </row>
    <row r="1515" spans="1:6" ht="15" customHeight="1" x14ac:dyDescent="0.25">
      <c r="A1515" s="2" t="s">
        <v>90</v>
      </c>
      <c r="B1515" s="2" t="s">
        <v>1907</v>
      </c>
      <c r="C1515" s="2" t="s">
        <v>484</v>
      </c>
      <c r="D1515" s="2" t="s">
        <v>134</v>
      </c>
      <c r="E1515" s="2" t="s">
        <v>1914</v>
      </c>
      <c r="F1515" s="3">
        <v>9.32</v>
      </c>
    </row>
    <row r="1516" spans="1:6" ht="15" customHeight="1" x14ac:dyDescent="0.25">
      <c r="A1516" s="2" t="s">
        <v>90</v>
      </c>
      <c r="B1516" s="2" t="s">
        <v>1907</v>
      </c>
      <c r="C1516" s="2" t="s">
        <v>484</v>
      </c>
      <c r="D1516" s="2" t="s">
        <v>121</v>
      </c>
      <c r="E1516" s="2" t="s">
        <v>1915</v>
      </c>
      <c r="F1516" s="3">
        <v>27.14</v>
      </c>
    </row>
    <row r="1517" spans="1:6" ht="15" customHeight="1" x14ac:dyDescent="0.25">
      <c r="A1517" s="2" t="s">
        <v>90</v>
      </c>
      <c r="B1517" s="2" t="s">
        <v>1907</v>
      </c>
      <c r="C1517" s="2" t="s">
        <v>486</v>
      </c>
      <c r="D1517" s="2" t="s">
        <v>121</v>
      </c>
      <c r="E1517" s="2" t="s">
        <v>1916</v>
      </c>
      <c r="F1517" s="3">
        <v>-4.07</v>
      </c>
    </row>
    <row r="1518" spans="1:6" ht="15" customHeight="1" x14ac:dyDescent="0.25">
      <c r="A1518" s="2" t="s">
        <v>90</v>
      </c>
      <c r="B1518" s="2" t="s">
        <v>1907</v>
      </c>
      <c r="C1518" s="2" t="s">
        <v>484</v>
      </c>
      <c r="D1518" s="2" t="s">
        <v>244</v>
      </c>
      <c r="E1518" s="2" t="s">
        <v>1917</v>
      </c>
      <c r="F1518" s="3">
        <v>0.99</v>
      </c>
    </row>
    <row r="1519" spans="1:6" ht="15" customHeight="1" x14ac:dyDescent="0.25">
      <c r="A1519" s="2" t="s">
        <v>90</v>
      </c>
      <c r="B1519" s="2" t="s">
        <v>1907</v>
      </c>
      <c r="C1519" s="2" t="s">
        <v>486</v>
      </c>
      <c r="D1519" s="2" t="s">
        <v>244</v>
      </c>
      <c r="E1519" s="2" t="s">
        <v>1821</v>
      </c>
      <c r="F1519" s="3">
        <v>-0.14000000000000001</v>
      </c>
    </row>
    <row r="1520" spans="1:6" ht="15" customHeight="1" x14ac:dyDescent="0.25">
      <c r="A1520" s="2" t="s">
        <v>90</v>
      </c>
      <c r="B1520" s="2" t="s">
        <v>1907</v>
      </c>
      <c r="C1520" s="2" t="s">
        <v>486</v>
      </c>
      <c r="D1520" s="2" t="s">
        <v>190</v>
      </c>
      <c r="E1520" s="2" t="s">
        <v>987</v>
      </c>
      <c r="F1520" s="3">
        <v>-0.62</v>
      </c>
    </row>
    <row r="1521" spans="1:6" ht="15" customHeight="1" x14ac:dyDescent="0.25">
      <c r="A1521" s="2" t="s">
        <v>90</v>
      </c>
      <c r="B1521" s="2" t="s">
        <v>1907</v>
      </c>
      <c r="C1521" s="2" t="s">
        <v>484</v>
      </c>
      <c r="D1521" s="2" t="s">
        <v>190</v>
      </c>
      <c r="E1521" s="2" t="s">
        <v>1918</v>
      </c>
      <c r="F1521" s="3">
        <v>4.1900000000000004</v>
      </c>
    </row>
    <row r="1522" spans="1:6" ht="15" customHeight="1" x14ac:dyDescent="0.25">
      <c r="A1522" s="2" t="s">
        <v>90</v>
      </c>
      <c r="B1522" s="2" t="s">
        <v>1907</v>
      </c>
      <c r="C1522" s="2" t="s">
        <v>486</v>
      </c>
      <c r="D1522" s="2" t="s">
        <v>136</v>
      </c>
      <c r="E1522" s="2" t="s">
        <v>1343</v>
      </c>
      <c r="F1522" s="3">
        <v>-0.88</v>
      </c>
    </row>
    <row r="1523" spans="1:6" ht="15" customHeight="1" x14ac:dyDescent="0.25">
      <c r="A1523" s="2" t="s">
        <v>90</v>
      </c>
      <c r="B1523" s="2" t="s">
        <v>1907</v>
      </c>
      <c r="C1523" s="2" t="s">
        <v>484</v>
      </c>
      <c r="D1523" s="2" t="s">
        <v>136</v>
      </c>
      <c r="E1523" s="2" t="s">
        <v>1919</v>
      </c>
      <c r="F1523" s="3">
        <v>5.89</v>
      </c>
    </row>
    <row r="1524" spans="1:6" ht="15" customHeight="1" x14ac:dyDescent="0.25">
      <c r="A1524" s="2" t="s">
        <v>90</v>
      </c>
      <c r="B1524" s="2" t="s">
        <v>1907</v>
      </c>
      <c r="C1524" s="2" t="s">
        <v>484</v>
      </c>
      <c r="D1524" s="2" t="s">
        <v>140</v>
      </c>
      <c r="E1524" s="2" t="s">
        <v>1920</v>
      </c>
      <c r="F1524" s="3">
        <v>3.42</v>
      </c>
    </row>
    <row r="1525" spans="1:6" ht="15" customHeight="1" x14ac:dyDescent="0.25">
      <c r="A1525" s="2" t="s">
        <v>90</v>
      </c>
      <c r="B1525" s="2" t="s">
        <v>1907</v>
      </c>
      <c r="C1525" s="2" t="s">
        <v>486</v>
      </c>
      <c r="D1525" s="2" t="s">
        <v>140</v>
      </c>
      <c r="E1525" s="2" t="s">
        <v>1921</v>
      </c>
      <c r="F1525" s="3">
        <v>-0.51</v>
      </c>
    </row>
    <row r="1526" spans="1:6" ht="15" customHeight="1" x14ac:dyDescent="0.25">
      <c r="A1526" s="2" t="s">
        <v>90</v>
      </c>
      <c r="B1526" s="2" t="s">
        <v>1907</v>
      </c>
      <c r="C1526" s="2" t="s">
        <v>484</v>
      </c>
      <c r="D1526" s="2" t="s">
        <v>145</v>
      </c>
      <c r="E1526" s="2" t="s">
        <v>1922</v>
      </c>
      <c r="F1526" s="3">
        <v>6.12</v>
      </c>
    </row>
    <row r="1527" spans="1:6" ht="15" customHeight="1" x14ac:dyDescent="0.25">
      <c r="A1527" s="2" t="s">
        <v>90</v>
      </c>
      <c r="B1527" s="2" t="s">
        <v>1907</v>
      </c>
      <c r="C1527" s="2" t="s">
        <v>486</v>
      </c>
      <c r="D1527" s="2" t="s">
        <v>145</v>
      </c>
      <c r="E1527" s="2" t="s">
        <v>1923</v>
      </c>
      <c r="F1527" s="3">
        <v>-0.91</v>
      </c>
    </row>
    <row r="1528" spans="1:6" ht="15" customHeight="1" x14ac:dyDescent="0.25">
      <c r="A1528" s="2" t="s">
        <v>90</v>
      </c>
      <c r="B1528" s="2" t="s">
        <v>1907</v>
      </c>
      <c r="C1528" s="2" t="s">
        <v>484</v>
      </c>
      <c r="D1528" s="2" t="s">
        <v>152</v>
      </c>
      <c r="E1528" s="2" t="s">
        <v>1924</v>
      </c>
      <c r="F1528" s="3">
        <v>3.58</v>
      </c>
    </row>
    <row r="1529" spans="1:6" ht="15" customHeight="1" x14ac:dyDescent="0.25">
      <c r="A1529" s="2" t="s">
        <v>90</v>
      </c>
      <c r="B1529" s="2" t="s">
        <v>1907</v>
      </c>
      <c r="C1529" s="2" t="s">
        <v>486</v>
      </c>
      <c r="D1529" s="2" t="s">
        <v>152</v>
      </c>
      <c r="E1529" s="2" t="s">
        <v>900</v>
      </c>
      <c r="F1529" s="3">
        <v>-0.53</v>
      </c>
    </row>
    <row r="1530" spans="1:6" ht="15" customHeight="1" x14ac:dyDescent="0.25">
      <c r="A1530" s="2" t="s">
        <v>90</v>
      </c>
      <c r="B1530" s="2" t="s">
        <v>1907</v>
      </c>
      <c r="C1530" s="2" t="s">
        <v>484</v>
      </c>
      <c r="D1530" s="2" t="s">
        <v>194</v>
      </c>
      <c r="E1530" s="2" t="s">
        <v>1925</v>
      </c>
      <c r="F1530" s="3">
        <v>5.51</v>
      </c>
    </row>
    <row r="1531" spans="1:6" ht="15" customHeight="1" x14ac:dyDescent="0.25">
      <c r="A1531" s="2" t="s">
        <v>90</v>
      </c>
      <c r="B1531" s="2" t="s">
        <v>1907</v>
      </c>
      <c r="C1531" s="2" t="s">
        <v>486</v>
      </c>
      <c r="D1531" s="2" t="s">
        <v>194</v>
      </c>
      <c r="E1531" s="2" t="s">
        <v>1926</v>
      </c>
      <c r="F1531" s="3">
        <v>-0.82</v>
      </c>
    </row>
    <row r="1532" spans="1:6" ht="15" customHeight="1" x14ac:dyDescent="0.25">
      <c r="A1532" s="2" t="s">
        <v>90</v>
      </c>
      <c r="B1532" s="2" t="s">
        <v>1907</v>
      </c>
      <c r="C1532" s="2" t="s">
        <v>484</v>
      </c>
      <c r="D1532" s="2" t="s">
        <v>181</v>
      </c>
      <c r="E1532" s="2" t="s">
        <v>1927</v>
      </c>
      <c r="F1532" s="3">
        <v>2.59</v>
      </c>
    </row>
    <row r="1533" spans="1:6" ht="15" customHeight="1" x14ac:dyDescent="0.25">
      <c r="A1533" s="2" t="s">
        <v>90</v>
      </c>
      <c r="B1533" s="2" t="s">
        <v>1907</v>
      </c>
      <c r="C1533" s="2" t="s">
        <v>486</v>
      </c>
      <c r="D1533" s="2" t="s">
        <v>181</v>
      </c>
      <c r="E1533" s="2" t="s">
        <v>1156</v>
      </c>
      <c r="F1533" s="3">
        <v>-0.38</v>
      </c>
    </row>
    <row r="1534" spans="1:6" ht="15" customHeight="1" x14ac:dyDescent="0.25">
      <c r="A1534" s="2" t="s">
        <v>92</v>
      </c>
      <c r="B1534" s="2" t="s">
        <v>455</v>
      </c>
      <c r="C1534" s="2" t="s">
        <v>484</v>
      </c>
      <c r="D1534" s="2" t="s">
        <v>258</v>
      </c>
      <c r="E1534" s="2" t="s">
        <v>1928</v>
      </c>
      <c r="F1534" s="3">
        <v>0.3</v>
      </c>
    </row>
    <row r="1535" spans="1:6" ht="15" customHeight="1" x14ac:dyDescent="0.25">
      <c r="A1535" s="2" t="s">
        <v>92</v>
      </c>
      <c r="B1535" s="2" t="s">
        <v>455</v>
      </c>
      <c r="C1535" s="2" t="s">
        <v>486</v>
      </c>
      <c r="D1535" s="2" t="s">
        <v>258</v>
      </c>
      <c r="E1535" s="2" t="s">
        <v>537</v>
      </c>
      <c r="F1535" s="3">
        <v>-0.04</v>
      </c>
    </row>
    <row r="1536" spans="1:6" ht="15" customHeight="1" x14ac:dyDescent="0.25">
      <c r="A1536" s="2" t="s">
        <v>92</v>
      </c>
      <c r="B1536" s="2" t="s">
        <v>1929</v>
      </c>
      <c r="C1536" s="2" t="s">
        <v>486</v>
      </c>
      <c r="D1536" s="2" t="s">
        <v>218</v>
      </c>
      <c r="E1536" s="2" t="s">
        <v>1930</v>
      </c>
      <c r="F1536" s="3">
        <v>-1.07</v>
      </c>
    </row>
    <row r="1537" spans="1:6" ht="15" customHeight="1" x14ac:dyDescent="0.25">
      <c r="A1537" s="2" t="s">
        <v>92</v>
      </c>
      <c r="B1537" s="2" t="s">
        <v>1929</v>
      </c>
      <c r="C1537" s="2" t="s">
        <v>484</v>
      </c>
      <c r="D1537" s="2" t="s">
        <v>218</v>
      </c>
      <c r="E1537" s="2" t="s">
        <v>1931</v>
      </c>
      <c r="F1537" s="3">
        <v>7.14</v>
      </c>
    </row>
    <row r="1538" spans="1:6" ht="15" customHeight="1" x14ac:dyDescent="0.25">
      <c r="A1538" s="2" t="s">
        <v>92</v>
      </c>
      <c r="B1538" s="2" t="s">
        <v>1929</v>
      </c>
      <c r="C1538" s="2" t="s">
        <v>486</v>
      </c>
      <c r="D1538" s="2" t="s">
        <v>129</v>
      </c>
      <c r="E1538" s="2" t="s">
        <v>1239</v>
      </c>
      <c r="F1538" s="3">
        <v>-2.19</v>
      </c>
    </row>
    <row r="1539" spans="1:6" ht="15" customHeight="1" x14ac:dyDescent="0.25">
      <c r="A1539" s="2" t="s">
        <v>92</v>
      </c>
      <c r="B1539" s="2" t="s">
        <v>1929</v>
      </c>
      <c r="C1539" s="2" t="s">
        <v>484</v>
      </c>
      <c r="D1539" s="2" t="s">
        <v>129</v>
      </c>
      <c r="E1539" s="2" t="s">
        <v>1932</v>
      </c>
      <c r="F1539" s="3">
        <v>14.66</v>
      </c>
    </row>
    <row r="1540" spans="1:6" ht="15" customHeight="1" x14ac:dyDescent="0.25">
      <c r="A1540" s="2" t="s">
        <v>92</v>
      </c>
      <c r="B1540" s="2" t="s">
        <v>457</v>
      </c>
      <c r="C1540" s="2" t="s">
        <v>484</v>
      </c>
      <c r="D1540" s="2" t="s">
        <v>143</v>
      </c>
      <c r="E1540" s="2" t="s">
        <v>1933</v>
      </c>
      <c r="F1540" s="3">
        <v>11.41</v>
      </c>
    </row>
    <row r="1541" spans="1:6" ht="15" customHeight="1" x14ac:dyDescent="0.25">
      <c r="A1541" s="2" t="s">
        <v>92</v>
      </c>
      <c r="B1541" s="2" t="s">
        <v>457</v>
      </c>
      <c r="C1541" s="2" t="s">
        <v>486</v>
      </c>
      <c r="D1541" s="2" t="s">
        <v>185</v>
      </c>
      <c r="E1541" s="2" t="s">
        <v>692</v>
      </c>
      <c r="F1541" s="3">
        <v>-0.34</v>
      </c>
    </row>
    <row r="1542" spans="1:6" ht="15" customHeight="1" x14ac:dyDescent="0.25">
      <c r="A1542" s="2" t="s">
        <v>92</v>
      </c>
      <c r="B1542" s="2" t="s">
        <v>457</v>
      </c>
      <c r="C1542" s="2" t="s">
        <v>484</v>
      </c>
      <c r="D1542" s="2" t="s">
        <v>185</v>
      </c>
      <c r="E1542" s="2" t="s">
        <v>1934</v>
      </c>
      <c r="F1542" s="3">
        <v>2.29</v>
      </c>
    </row>
    <row r="1543" spans="1:6" ht="15" customHeight="1" x14ac:dyDescent="0.25">
      <c r="A1543" s="2" t="s">
        <v>92</v>
      </c>
      <c r="B1543" s="2" t="s">
        <v>457</v>
      </c>
      <c r="C1543" s="2" t="s">
        <v>484</v>
      </c>
      <c r="D1543" s="2" t="s">
        <v>115</v>
      </c>
      <c r="E1543" s="2" t="s">
        <v>1935</v>
      </c>
      <c r="F1543" s="3">
        <v>18.05</v>
      </c>
    </row>
    <row r="1544" spans="1:6" ht="15" customHeight="1" x14ac:dyDescent="0.25">
      <c r="A1544" s="2" t="s">
        <v>92</v>
      </c>
      <c r="B1544" s="2" t="s">
        <v>457</v>
      </c>
      <c r="C1544" s="2" t="s">
        <v>486</v>
      </c>
      <c r="D1544" s="2" t="s">
        <v>115</v>
      </c>
      <c r="E1544" s="2" t="s">
        <v>1936</v>
      </c>
      <c r="F1544" s="3">
        <v>-2.7</v>
      </c>
    </row>
    <row r="1545" spans="1:6" ht="15" customHeight="1" x14ac:dyDescent="0.25">
      <c r="A1545" s="2" t="s">
        <v>92</v>
      </c>
      <c r="B1545" s="2" t="s">
        <v>457</v>
      </c>
      <c r="C1545" s="2" t="s">
        <v>484</v>
      </c>
      <c r="D1545" s="2" t="s">
        <v>119</v>
      </c>
      <c r="E1545" s="2" t="s">
        <v>1937</v>
      </c>
      <c r="F1545" s="3">
        <v>12.73</v>
      </c>
    </row>
    <row r="1546" spans="1:6" ht="15" customHeight="1" x14ac:dyDescent="0.25">
      <c r="A1546" s="2" t="s">
        <v>92</v>
      </c>
      <c r="B1546" s="2" t="s">
        <v>457</v>
      </c>
      <c r="C1546" s="2" t="s">
        <v>486</v>
      </c>
      <c r="D1546" s="2" t="s">
        <v>119</v>
      </c>
      <c r="E1546" s="2" t="s">
        <v>1938</v>
      </c>
      <c r="F1546" s="3">
        <v>-1.9</v>
      </c>
    </row>
    <row r="1547" spans="1:6" ht="15" customHeight="1" x14ac:dyDescent="0.25">
      <c r="A1547" s="2" t="s">
        <v>92</v>
      </c>
      <c r="B1547" s="2" t="s">
        <v>457</v>
      </c>
      <c r="C1547" s="2" t="s">
        <v>486</v>
      </c>
      <c r="D1547" s="2" t="s">
        <v>162</v>
      </c>
      <c r="E1547" s="2" t="s">
        <v>1674</v>
      </c>
      <c r="F1547" s="3">
        <v>-1.19</v>
      </c>
    </row>
    <row r="1548" spans="1:6" ht="15" customHeight="1" x14ac:dyDescent="0.25">
      <c r="A1548" s="2" t="s">
        <v>92</v>
      </c>
      <c r="B1548" s="2" t="s">
        <v>457</v>
      </c>
      <c r="C1548" s="2" t="s">
        <v>484</v>
      </c>
      <c r="D1548" s="2" t="s">
        <v>162</v>
      </c>
      <c r="E1548" s="2" t="s">
        <v>1939</v>
      </c>
      <c r="F1548" s="3">
        <v>7.95</v>
      </c>
    </row>
    <row r="1549" spans="1:6" ht="15" customHeight="1" x14ac:dyDescent="0.25">
      <c r="A1549" s="2" t="s">
        <v>92</v>
      </c>
      <c r="B1549" s="2" t="s">
        <v>457</v>
      </c>
      <c r="C1549" s="2" t="s">
        <v>486</v>
      </c>
      <c r="D1549" s="2" t="s">
        <v>164</v>
      </c>
      <c r="E1549" s="2" t="s">
        <v>1940</v>
      </c>
      <c r="F1549" s="3">
        <v>-0.39</v>
      </c>
    </row>
    <row r="1550" spans="1:6" ht="15" customHeight="1" x14ac:dyDescent="0.25">
      <c r="A1550" s="2" t="s">
        <v>92</v>
      </c>
      <c r="B1550" s="2" t="s">
        <v>457</v>
      </c>
      <c r="C1550" s="2" t="s">
        <v>484</v>
      </c>
      <c r="D1550" s="2" t="s">
        <v>164</v>
      </c>
      <c r="E1550" s="2" t="s">
        <v>1941</v>
      </c>
      <c r="F1550" s="3">
        <v>2.63</v>
      </c>
    </row>
    <row r="1551" spans="1:6" ht="15" customHeight="1" x14ac:dyDescent="0.25">
      <c r="A1551" s="2" t="s">
        <v>92</v>
      </c>
      <c r="B1551" s="2" t="s">
        <v>457</v>
      </c>
      <c r="C1551" s="2" t="s">
        <v>484</v>
      </c>
      <c r="D1551" s="2" t="s">
        <v>166</v>
      </c>
      <c r="E1551" s="2" t="s">
        <v>1942</v>
      </c>
      <c r="F1551" s="3">
        <v>3.06</v>
      </c>
    </row>
    <row r="1552" spans="1:6" ht="15" customHeight="1" x14ac:dyDescent="0.25">
      <c r="A1552" s="2" t="s">
        <v>92</v>
      </c>
      <c r="B1552" s="2" t="s">
        <v>457</v>
      </c>
      <c r="C1552" s="2" t="s">
        <v>486</v>
      </c>
      <c r="D1552" s="2" t="s">
        <v>166</v>
      </c>
      <c r="E1552" s="2" t="s">
        <v>911</v>
      </c>
      <c r="F1552" s="3">
        <v>-0.45</v>
      </c>
    </row>
    <row r="1553" spans="1:6" ht="15" customHeight="1" x14ac:dyDescent="0.25">
      <c r="A1553" s="2" t="s">
        <v>92</v>
      </c>
      <c r="B1553" s="2" t="s">
        <v>457</v>
      </c>
      <c r="C1553" s="2" t="s">
        <v>486</v>
      </c>
      <c r="D1553" s="2" t="s">
        <v>127</v>
      </c>
      <c r="E1553" s="2" t="s">
        <v>1943</v>
      </c>
      <c r="F1553" s="3">
        <v>-1.7</v>
      </c>
    </row>
    <row r="1554" spans="1:6" ht="15" customHeight="1" x14ac:dyDescent="0.25">
      <c r="A1554" s="2" t="s">
        <v>92</v>
      </c>
      <c r="B1554" s="2" t="s">
        <v>457</v>
      </c>
      <c r="C1554" s="2" t="s">
        <v>484</v>
      </c>
      <c r="D1554" s="2" t="s">
        <v>127</v>
      </c>
      <c r="E1554" s="2" t="s">
        <v>1944</v>
      </c>
      <c r="F1554" s="3">
        <v>11.37</v>
      </c>
    </row>
    <row r="1555" spans="1:6" ht="15" customHeight="1" x14ac:dyDescent="0.25">
      <c r="A1555" s="2" t="s">
        <v>92</v>
      </c>
      <c r="B1555" s="2" t="s">
        <v>457</v>
      </c>
      <c r="C1555" s="2" t="s">
        <v>486</v>
      </c>
      <c r="D1555" s="2" t="s">
        <v>143</v>
      </c>
      <c r="E1555" s="2" t="s">
        <v>1945</v>
      </c>
      <c r="F1555" s="3">
        <v>-1.71</v>
      </c>
    </row>
    <row r="1556" spans="1:6" ht="15" customHeight="1" x14ac:dyDescent="0.25">
      <c r="A1556" s="2" t="s">
        <v>92</v>
      </c>
      <c r="B1556" s="2" t="s">
        <v>458</v>
      </c>
      <c r="C1556" s="2" t="s">
        <v>486</v>
      </c>
      <c r="D1556" s="2" t="s">
        <v>132</v>
      </c>
      <c r="E1556" s="2" t="s">
        <v>1946</v>
      </c>
      <c r="F1556" s="3">
        <v>-1.18</v>
      </c>
    </row>
    <row r="1557" spans="1:6" ht="15" customHeight="1" x14ac:dyDescent="0.25">
      <c r="A1557" s="2" t="s">
        <v>92</v>
      </c>
      <c r="B1557" s="2" t="s">
        <v>458</v>
      </c>
      <c r="C1557" s="2" t="s">
        <v>484</v>
      </c>
      <c r="D1557" s="2" t="s">
        <v>140</v>
      </c>
      <c r="E1557" s="2" t="s">
        <v>1947</v>
      </c>
      <c r="F1557" s="3">
        <v>3.35</v>
      </c>
    </row>
    <row r="1558" spans="1:6" ht="15" customHeight="1" x14ac:dyDescent="0.25">
      <c r="A1558" s="2" t="s">
        <v>92</v>
      </c>
      <c r="B1558" s="2" t="s">
        <v>458</v>
      </c>
      <c r="C1558" s="2" t="s">
        <v>486</v>
      </c>
      <c r="D1558" s="2" t="s">
        <v>140</v>
      </c>
      <c r="E1558" s="2" t="s">
        <v>1948</v>
      </c>
      <c r="F1558" s="3">
        <v>-0.5</v>
      </c>
    </row>
    <row r="1559" spans="1:6" ht="15" customHeight="1" x14ac:dyDescent="0.25">
      <c r="A1559" s="2" t="s">
        <v>92</v>
      </c>
      <c r="B1559" s="2" t="s">
        <v>458</v>
      </c>
      <c r="C1559" s="2" t="s">
        <v>486</v>
      </c>
      <c r="D1559" s="2" t="s">
        <v>158</v>
      </c>
      <c r="E1559" s="2" t="s">
        <v>1193</v>
      </c>
      <c r="F1559" s="3">
        <v>-0.26</v>
      </c>
    </row>
    <row r="1560" spans="1:6" ht="15" customHeight="1" x14ac:dyDescent="0.25">
      <c r="A1560" s="2" t="s">
        <v>92</v>
      </c>
      <c r="B1560" s="2" t="s">
        <v>458</v>
      </c>
      <c r="C1560" s="2" t="s">
        <v>484</v>
      </c>
      <c r="D1560" s="2" t="s">
        <v>158</v>
      </c>
      <c r="E1560" s="2" t="s">
        <v>1949</v>
      </c>
      <c r="F1560" s="3">
        <v>1.74</v>
      </c>
    </row>
    <row r="1561" spans="1:6" ht="15" customHeight="1" x14ac:dyDescent="0.25">
      <c r="A1561" s="2" t="s">
        <v>92</v>
      </c>
      <c r="B1561" s="2" t="s">
        <v>458</v>
      </c>
      <c r="C1561" s="2" t="s">
        <v>484</v>
      </c>
      <c r="D1561" s="2" t="s">
        <v>132</v>
      </c>
      <c r="E1561" s="2" t="s">
        <v>1950</v>
      </c>
      <c r="F1561" s="3">
        <v>7.93</v>
      </c>
    </row>
    <row r="1562" spans="1:6" ht="15" customHeight="1" x14ac:dyDescent="0.25">
      <c r="A1562" s="2" t="s">
        <v>92</v>
      </c>
      <c r="B1562" s="2" t="s">
        <v>458</v>
      </c>
      <c r="C1562" s="2" t="s">
        <v>486</v>
      </c>
      <c r="D1562" s="2" t="s">
        <v>152</v>
      </c>
      <c r="E1562" s="2" t="s">
        <v>1951</v>
      </c>
      <c r="F1562" s="3">
        <v>-0.62</v>
      </c>
    </row>
    <row r="1563" spans="1:6" ht="15" customHeight="1" x14ac:dyDescent="0.25">
      <c r="A1563" s="2" t="s">
        <v>92</v>
      </c>
      <c r="B1563" s="2" t="s">
        <v>458</v>
      </c>
      <c r="C1563" s="2" t="s">
        <v>484</v>
      </c>
      <c r="D1563" s="2" t="s">
        <v>152</v>
      </c>
      <c r="E1563" s="2" t="s">
        <v>1952</v>
      </c>
      <c r="F1563" s="3">
        <v>4.1500000000000004</v>
      </c>
    </row>
    <row r="1564" spans="1:6" ht="15" customHeight="1" x14ac:dyDescent="0.25">
      <c r="A1564" s="2" t="s">
        <v>92</v>
      </c>
      <c r="B1564" s="2" t="s">
        <v>458</v>
      </c>
      <c r="C1564" s="2" t="s">
        <v>486</v>
      </c>
      <c r="D1564" s="2" t="s">
        <v>145</v>
      </c>
      <c r="E1564" s="2" t="s">
        <v>1953</v>
      </c>
      <c r="F1564" s="3">
        <v>-0.92</v>
      </c>
    </row>
    <row r="1565" spans="1:6" ht="15" customHeight="1" x14ac:dyDescent="0.25">
      <c r="A1565" s="2" t="s">
        <v>92</v>
      </c>
      <c r="B1565" s="2" t="s">
        <v>458</v>
      </c>
      <c r="C1565" s="2" t="s">
        <v>484</v>
      </c>
      <c r="D1565" s="2" t="s">
        <v>145</v>
      </c>
      <c r="E1565" s="2" t="s">
        <v>1954</v>
      </c>
      <c r="F1565" s="3">
        <v>6.18</v>
      </c>
    </row>
    <row r="1566" spans="1:6" ht="15" customHeight="1" x14ac:dyDescent="0.25">
      <c r="A1566" s="2" t="s">
        <v>92</v>
      </c>
      <c r="B1566" s="2" t="s">
        <v>458</v>
      </c>
      <c r="C1566" s="2" t="s">
        <v>484</v>
      </c>
      <c r="D1566" s="2" t="s">
        <v>194</v>
      </c>
      <c r="E1566" s="2" t="s">
        <v>1955</v>
      </c>
      <c r="F1566" s="3">
        <v>6.69</v>
      </c>
    </row>
    <row r="1567" spans="1:6" ht="15" customHeight="1" x14ac:dyDescent="0.25">
      <c r="A1567" s="2" t="s">
        <v>92</v>
      </c>
      <c r="B1567" s="2" t="s">
        <v>458</v>
      </c>
      <c r="C1567" s="2" t="s">
        <v>486</v>
      </c>
      <c r="D1567" s="2" t="s">
        <v>194</v>
      </c>
      <c r="E1567" s="2" t="s">
        <v>1956</v>
      </c>
      <c r="F1567" s="3">
        <v>-1</v>
      </c>
    </row>
    <row r="1568" spans="1:6" ht="15" customHeight="1" x14ac:dyDescent="0.25">
      <c r="A1568" s="2" t="s">
        <v>92</v>
      </c>
      <c r="B1568" s="2" t="s">
        <v>1957</v>
      </c>
      <c r="C1568" s="2" t="s">
        <v>486</v>
      </c>
      <c r="D1568" s="2" t="s">
        <v>183</v>
      </c>
      <c r="E1568" s="2" t="s">
        <v>1205</v>
      </c>
      <c r="F1568" s="3">
        <v>-0.68</v>
      </c>
    </row>
    <row r="1569" spans="1:6" ht="15" customHeight="1" x14ac:dyDescent="0.25">
      <c r="A1569" s="2" t="s">
        <v>92</v>
      </c>
      <c r="B1569" s="2" t="s">
        <v>1957</v>
      </c>
      <c r="C1569" s="2" t="s">
        <v>484</v>
      </c>
      <c r="D1569" s="2" t="s">
        <v>183</v>
      </c>
      <c r="E1569" s="2" t="s">
        <v>1958</v>
      </c>
      <c r="F1569" s="3">
        <v>4.59</v>
      </c>
    </row>
    <row r="1570" spans="1:6" ht="15" customHeight="1" x14ac:dyDescent="0.25">
      <c r="A1570" s="2" t="s">
        <v>92</v>
      </c>
      <c r="B1570" s="2" t="s">
        <v>1959</v>
      </c>
      <c r="C1570" s="2" t="s">
        <v>486</v>
      </c>
      <c r="D1570" s="2" t="s">
        <v>196</v>
      </c>
      <c r="E1570" s="2" t="s">
        <v>1960</v>
      </c>
      <c r="F1570" s="3">
        <v>-0.95</v>
      </c>
    </row>
    <row r="1571" spans="1:6" ht="15" customHeight="1" x14ac:dyDescent="0.25">
      <c r="A1571" s="2" t="s">
        <v>92</v>
      </c>
      <c r="B1571" s="2" t="s">
        <v>1959</v>
      </c>
      <c r="C1571" s="2" t="s">
        <v>484</v>
      </c>
      <c r="D1571" s="2" t="s">
        <v>196</v>
      </c>
      <c r="E1571" s="2" t="s">
        <v>1961</v>
      </c>
      <c r="F1571" s="3">
        <v>6.35</v>
      </c>
    </row>
    <row r="1572" spans="1:6" ht="15" customHeight="1" x14ac:dyDescent="0.25">
      <c r="A1572" s="2" t="s">
        <v>92</v>
      </c>
      <c r="B1572" s="2" t="s">
        <v>1962</v>
      </c>
      <c r="C1572" s="2" t="s">
        <v>486</v>
      </c>
      <c r="D1572" s="2" t="s">
        <v>215</v>
      </c>
      <c r="E1572" s="2" t="s">
        <v>1963</v>
      </c>
      <c r="F1572" s="3">
        <v>-1.36</v>
      </c>
    </row>
    <row r="1573" spans="1:6" ht="15" customHeight="1" x14ac:dyDescent="0.25">
      <c r="A1573" s="2" t="s">
        <v>92</v>
      </c>
      <c r="B1573" s="2" t="s">
        <v>1962</v>
      </c>
      <c r="C1573" s="2" t="s">
        <v>484</v>
      </c>
      <c r="D1573" s="2" t="s">
        <v>215</v>
      </c>
      <c r="E1573" s="2" t="s">
        <v>1964</v>
      </c>
      <c r="F1573" s="3">
        <v>9.1</v>
      </c>
    </row>
    <row r="1574" spans="1:6" ht="15" customHeight="1" x14ac:dyDescent="0.25">
      <c r="A1574" s="2" t="s">
        <v>92</v>
      </c>
      <c r="B1574" s="2" t="s">
        <v>1962</v>
      </c>
      <c r="C1574" s="2" t="s">
        <v>484</v>
      </c>
      <c r="D1574" s="2" t="s">
        <v>179</v>
      </c>
      <c r="E1574" s="2" t="s">
        <v>1965</v>
      </c>
      <c r="F1574" s="3">
        <v>7.6</v>
      </c>
    </row>
    <row r="1575" spans="1:6" ht="15" customHeight="1" x14ac:dyDescent="0.25">
      <c r="A1575" s="2" t="s">
        <v>92</v>
      </c>
      <c r="B1575" s="2" t="s">
        <v>1962</v>
      </c>
      <c r="C1575" s="2" t="s">
        <v>486</v>
      </c>
      <c r="D1575" s="2" t="s">
        <v>179</v>
      </c>
      <c r="E1575" s="2" t="s">
        <v>1966</v>
      </c>
      <c r="F1575" s="3">
        <v>-1.1399999999999999</v>
      </c>
    </row>
    <row r="1576" spans="1:6" ht="15" customHeight="1" x14ac:dyDescent="0.25">
      <c r="A1576" s="2" t="s">
        <v>92</v>
      </c>
      <c r="B1576" s="2" t="s">
        <v>1962</v>
      </c>
      <c r="C1576" s="2" t="s">
        <v>486</v>
      </c>
      <c r="D1576" s="2" t="s">
        <v>164</v>
      </c>
      <c r="E1576" s="2" t="s">
        <v>1005</v>
      </c>
      <c r="F1576" s="3">
        <v>-0.4</v>
      </c>
    </row>
    <row r="1577" spans="1:6" ht="15" customHeight="1" x14ac:dyDescent="0.25">
      <c r="A1577" s="2" t="s">
        <v>92</v>
      </c>
      <c r="B1577" s="2" t="s">
        <v>1962</v>
      </c>
      <c r="C1577" s="2" t="s">
        <v>484</v>
      </c>
      <c r="D1577" s="2" t="s">
        <v>164</v>
      </c>
      <c r="E1577" s="2" t="s">
        <v>1967</v>
      </c>
      <c r="F1577" s="3">
        <v>2.7</v>
      </c>
    </row>
    <row r="1578" spans="1:6" ht="15" customHeight="1" x14ac:dyDescent="0.25">
      <c r="A1578" s="2" t="s">
        <v>92</v>
      </c>
      <c r="B1578" s="2" t="s">
        <v>459</v>
      </c>
      <c r="C1578" s="2" t="s">
        <v>486</v>
      </c>
      <c r="D1578" s="2" t="s">
        <v>145</v>
      </c>
      <c r="E1578" s="2" t="s">
        <v>1968</v>
      </c>
      <c r="F1578" s="3">
        <v>-0.95</v>
      </c>
    </row>
    <row r="1579" spans="1:6" ht="15" customHeight="1" x14ac:dyDescent="0.25">
      <c r="A1579" s="2" t="s">
        <v>92</v>
      </c>
      <c r="B1579" s="2" t="s">
        <v>459</v>
      </c>
      <c r="C1579" s="2" t="s">
        <v>486</v>
      </c>
      <c r="D1579" s="2" t="s">
        <v>140</v>
      </c>
      <c r="E1579" s="2" t="s">
        <v>1969</v>
      </c>
      <c r="F1579" s="3">
        <v>-0.95</v>
      </c>
    </row>
    <row r="1580" spans="1:6" ht="15" customHeight="1" x14ac:dyDescent="0.25">
      <c r="A1580" s="2" t="s">
        <v>92</v>
      </c>
      <c r="B1580" s="2" t="s">
        <v>459</v>
      </c>
      <c r="C1580" s="2" t="s">
        <v>484</v>
      </c>
      <c r="D1580" s="2" t="s">
        <v>140</v>
      </c>
      <c r="E1580" s="2" t="s">
        <v>1970</v>
      </c>
      <c r="F1580" s="3">
        <v>6.39</v>
      </c>
    </row>
    <row r="1581" spans="1:6" ht="15" customHeight="1" x14ac:dyDescent="0.25">
      <c r="A1581" s="2" t="s">
        <v>92</v>
      </c>
      <c r="B1581" s="2" t="s">
        <v>459</v>
      </c>
      <c r="C1581" s="2" t="s">
        <v>486</v>
      </c>
      <c r="D1581" s="2" t="s">
        <v>158</v>
      </c>
      <c r="E1581" s="2" t="s">
        <v>1480</v>
      </c>
      <c r="F1581" s="3">
        <v>-0.25</v>
      </c>
    </row>
    <row r="1582" spans="1:6" ht="15" customHeight="1" x14ac:dyDescent="0.25">
      <c r="A1582" s="2" t="s">
        <v>92</v>
      </c>
      <c r="B1582" s="2" t="s">
        <v>459</v>
      </c>
      <c r="C1582" s="2" t="s">
        <v>484</v>
      </c>
      <c r="D1582" s="2" t="s">
        <v>158</v>
      </c>
      <c r="E1582" s="2" t="s">
        <v>1971</v>
      </c>
      <c r="F1582" s="3">
        <v>1.73</v>
      </c>
    </row>
    <row r="1583" spans="1:6" ht="15" customHeight="1" x14ac:dyDescent="0.25">
      <c r="A1583" s="2" t="s">
        <v>92</v>
      </c>
      <c r="B1583" s="2" t="s">
        <v>459</v>
      </c>
      <c r="C1583" s="2" t="s">
        <v>486</v>
      </c>
      <c r="D1583" s="2" t="s">
        <v>132</v>
      </c>
      <c r="E1583" s="2" t="s">
        <v>1972</v>
      </c>
      <c r="F1583" s="3">
        <v>-1</v>
      </c>
    </row>
    <row r="1584" spans="1:6" ht="15" customHeight="1" x14ac:dyDescent="0.25">
      <c r="A1584" s="2" t="s">
        <v>92</v>
      </c>
      <c r="B1584" s="2" t="s">
        <v>459</v>
      </c>
      <c r="C1584" s="2" t="s">
        <v>484</v>
      </c>
      <c r="D1584" s="2" t="s">
        <v>132</v>
      </c>
      <c r="E1584" s="2" t="s">
        <v>1973</v>
      </c>
      <c r="F1584" s="3">
        <v>6.71</v>
      </c>
    </row>
    <row r="1585" spans="1:6" ht="15" customHeight="1" x14ac:dyDescent="0.25">
      <c r="A1585" s="2" t="s">
        <v>92</v>
      </c>
      <c r="B1585" s="2" t="s">
        <v>459</v>
      </c>
      <c r="C1585" s="2" t="s">
        <v>486</v>
      </c>
      <c r="D1585" s="2" t="s">
        <v>152</v>
      </c>
      <c r="E1585" s="2" t="s">
        <v>1974</v>
      </c>
      <c r="F1585" s="3">
        <v>-0.68</v>
      </c>
    </row>
    <row r="1586" spans="1:6" ht="15" customHeight="1" x14ac:dyDescent="0.25">
      <c r="A1586" s="2" t="s">
        <v>92</v>
      </c>
      <c r="B1586" s="2" t="s">
        <v>459</v>
      </c>
      <c r="C1586" s="2" t="s">
        <v>484</v>
      </c>
      <c r="D1586" s="2" t="s">
        <v>152</v>
      </c>
      <c r="E1586" s="2" t="s">
        <v>1975</v>
      </c>
      <c r="F1586" s="3">
        <v>4.5599999999999996</v>
      </c>
    </row>
    <row r="1587" spans="1:6" ht="15" customHeight="1" x14ac:dyDescent="0.25">
      <c r="A1587" s="2" t="s">
        <v>92</v>
      </c>
      <c r="B1587" s="2" t="s">
        <v>459</v>
      </c>
      <c r="C1587" s="2" t="s">
        <v>484</v>
      </c>
      <c r="D1587" s="2" t="s">
        <v>145</v>
      </c>
      <c r="E1587" s="2" t="s">
        <v>1976</v>
      </c>
      <c r="F1587" s="3">
        <v>6.37</v>
      </c>
    </row>
    <row r="1588" spans="1:6" ht="15" customHeight="1" x14ac:dyDescent="0.25">
      <c r="A1588" s="2" t="s">
        <v>92</v>
      </c>
      <c r="B1588" s="2" t="s">
        <v>459</v>
      </c>
      <c r="C1588" s="2" t="s">
        <v>484</v>
      </c>
      <c r="D1588" s="2" t="s">
        <v>154</v>
      </c>
      <c r="E1588" s="2" t="s">
        <v>1977</v>
      </c>
      <c r="F1588" s="3">
        <v>2.2200000000000002</v>
      </c>
    </row>
    <row r="1589" spans="1:6" ht="15" customHeight="1" x14ac:dyDescent="0.25">
      <c r="A1589" s="2" t="s">
        <v>92</v>
      </c>
      <c r="B1589" s="2" t="s">
        <v>459</v>
      </c>
      <c r="C1589" s="2" t="s">
        <v>486</v>
      </c>
      <c r="D1589" s="2" t="s">
        <v>154</v>
      </c>
      <c r="E1589" s="2" t="s">
        <v>1978</v>
      </c>
      <c r="F1589" s="3">
        <v>-0.33</v>
      </c>
    </row>
    <row r="1590" spans="1:6" ht="15" customHeight="1" x14ac:dyDescent="0.25">
      <c r="A1590" s="2" t="s">
        <v>92</v>
      </c>
      <c r="B1590" s="2" t="s">
        <v>459</v>
      </c>
      <c r="C1590" s="2" t="s">
        <v>484</v>
      </c>
      <c r="D1590" s="2" t="s">
        <v>194</v>
      </c>
      <c r="E1590" s="2" t="s">
        <v>1979</v>
      </c>
      <c r="F1590" s="3">
        <v>11.2</v>
      </c>
    </row>
    <row r="1591" spans="1:6" ht="15" customHeight="1" x14ac:dyDescent="0.25">
      <c r="A1591" s="2" t="s">
        <v>92</v>
      </c>
      <c r="B1591" s="2" t="s">
        <v>459</v>
      </c>
      <c r="C1591" s="2" t="s">
        <v>486</v>
      </c>
      <c r="D1591" s="2" t="s">
        <v>194</v>
      </c>
      <c r="E1591" s="2" t="s">
        <v>1980</v>
      </c>
      <c r="F1591" s="3">
        <v>-1.68</v>
      </c>
    </row>
    <row r="1592" spans="1:6" ht="15" customHeight="1" x14ac:dyDescent="0.25">
      <c r="A1592" s="2" t="s">
        <v>92</v>
      </c>
      <c r="B1592" s="2" t="s">
        <v>1981</v>
      </c>
      <c r="C1592" s="2" t="s">
        <v>486</v>
      </c>
      <c r="D1592" s="2" t="s">
        <v>164</v>
      </c>
      <c r="E1592" s="2" t="s">
        <v>1005</v>
      </c>
      <c r="F1592" s="3">
        <v>-0.4</v>
      </c>
    </row>
    <row r="1593" spans="1:6" ht="15" customHeight="1" x14ac:dyDescent="0.25">
      <c r="A1593" s="2" t="s">
        <v>92</v>
      </c>
      <c r="B1593" s="2" t="s">
        <v>1981</v>
      </c>
      <c r="C1593" s="2" t="s">
        <v>484</v>
      </c>
      <c r="D1593" s="2" t="s">
        <v>164</v>
      </c>
      <c r="E1593" s="2" t="s">
        <v>1982</v>
      </c>
      <c r="F1593" s="3">
        <v>2.7</v>
      </c>
    </row>
    <row r="1594" spans="1:6" ht="15" customHeight="1" x14ac:dyDescent="0.25">
      <c r="A1594" s="2" t="s">
        <v>92</v>
      </c>
      <c r="B1594" s="2" t="s">
        <v>1983</v>
      </c>
      <c r="C1594" s="2" t="s">
        <v>484</v>
      </c>
      <c r="D1594" s="2" t="s">
        <v>140</v>
      </c>
      <c r="E1594" s="2" t="s">
        <v>1984</v>
      </c>
      <c r="F1594" s="3">
        <v>6.6</v>
      </c>
    </row>
    <row r="1595" spans="1:6" ht="15" customHeight="1" x14ac:dyDescent="0.25">
      <c r="A1595" s="2" t="s">
        <v>92</v>
      </c>
      <c r="B1595" s="2" t="s">
        <v>1983</v>
      </c>
      <c r="C1595" s="2" t="s">
        <v>484</v>
      </c>
      <c r="D1595" s="2" t="s">
        <v>225</v>
      </c>
      <c r="E1595" s="2" t="s">
        <v>1985</v>
      </c>
      <c r="F1595" s="3">
        <v>0.99</v>
      </c>
    </row>
    <row r="1596" spans="1:6" ht="15" customHeight="1" x14ac:dyDescent="0.25">
      <c r="A1596" s="2" t="s">
        <v>92</v>
      </c>
      <c r="B1596" s="2" t="s">
        <v>1983</v>
      </c>
      <c r="C1596" s="2" t="s">
        <v>486</v>
      </c>
      <c r="D1596" s="2" t="s">
        <v>225</v>
      </c>
      <c r="E1596" s="2" t="s">
        <v>1821</v>
      </c>
      <c r="F1596" s="3">
        <v>-0.14000000000000001</v>
      </c>
    </row>
    <row r="1597" spans="1:6" ht="15" customHeight="1" x14ac:dyDescent="0.25">
      <c r="A1597" s="2" t="s">
        <v>92</v>
      </c>
      <c r="B1597" s="2" t="s">
        <v>1983</v>
      </c>
      <c r="C1597" s="2" t="s">
        <v>486</v>
      </c>
      <c r="D1597" s="2" t="s">
        <v>158</v>
      </c>
      <c r="E1597" s="2" t="s">
        <v>1986</v>
      </c>
      <c r="F1597" s="3">
        <v>-0.25</v>
      </c>
    </row>
    <row r="1598" spans="1:6" ht="15" customHeight="1" x14ac:dyDescent="0.25">
      <c r="A1598" s="2" t="s">
        <v>92</v>
      </c>
      <c r="B1598" s="2" t="s">
        <v>1983</v>
      </c>
      <c r="C1598" s="2" t="s">
        <v>484</v>
      </c>
      <c r="D1598" s="2" t="s">
        <v>158</v>
      </c>
      <c r="E1598" s="2" t="s">
        <v>1987</v>
      </c>
      <c r="F1598" s="3">
        <v>1.67</v>
      </c>
    </row>
    <row r="1599" spans="1:6" ht="15" customHeight="1" x14ac:dyDescent="0.25">
      <c r="A1599" s="2" t="s">
        <v>92</v>
      </c>
      <c r="B1599" s="2" t="s">
        <v>1983</v>
      </c>
      <c r="C1599" s="2" t="s">
        <v>486</v>
      </c>
      <c r="D1599" s="2" t="s">
        <v>132</v>
      </c>
      <c r="E1599" s="2" t="s">
        <v>1988</v>
      </c>
      <c r="F1599" s="3">
        <v>-1.06</v>
      </c>
    </row>
    <row r="1600" spans="1:6" ht="15" customHeight="1" x14ac:dyDescent="0.25">
      <c r="A1600" s="2" t="s">
        <v>92</v>
      </c>
      <c r="B1600" s="2" t="s">
        <v>1983</v>
      </c>
      <c r="C1600" s="2" t="s">
        <v>484</v>
      </c>
      <c r="D1600" s="2" t="s">
        <v>132</v>
      </c>
      <c r="E1600" s="2" t="s">
        <v>1989</v>
      </c>
      <c r="F1600" s="3">
        <v>7.11</v>
      </c>
    </row>
    <row r="1601" spans="1:6" ht="15" customHeight="1" x14ac:dyDescent="0.25">
      <c r="A1601" s="2" t="s">
        <v>92</v>
      </c>
      <c r="B1601" s="2" t="s">
        <v>1983</v>
      </c>
      <c r="C1601" s="2" t="s">
        <v>486</v>
      </c>
      <c r="D1601" s="2" t="s">
        <v>152</v>
      </c>
      <c r="E1601" s="2" t="s">
        <v>1990</v>
      </c>
      <c r="F1601" s="3">
        <v>-0.78</v>
      </c>
    </row>
    <row r="1602" spans="1:6" ht="15" customHeight="1" x14ac:dyDescent="0.25">
      <c r="A1602" s="2" t="s">
        <v>92</v>
      </c>
      <c r="B1602" s="2" t="s">
        <v>1983</v>
      </c>
      <c r="C1602" s="2" t="s">
        <v>486</v>
      </c>
      <c r="D1602" s="2" t="s">
        <v>145</v>
      </c>
      <c r="E1602" s="2" t="s">
        <v>1991</v>
      </c>
      <c r="F1602" s="3">
        <v>-1.06</v>
      </c>
    </row>
    <row r="1603" spans="1:6" ht="15" customHeight="1" x14ac:dyDescent="0.25">
      <c r="A1603" s="2" t="s">
        <v>92</v>
      </c>
      <c r="B1603" s="2" t="s">
        <v>1983</v>
      </c>
      <c r="C1603" s="2" t="s">
        <v>484</v>
      </c>
      <c r="D1603" s="2" t="s">
        <v>145</v>
      </c>
      <c r="E1603" s="2" t="s">
        <v>1992</v>
      </c>
      <c r="F1603" s="3">
        <v>7.09</v>
      </c>
    </row>
    <row r="1604" spans="1:6" ht="15" customHeight="1" x14ac:dyDescent="0.25">
      <c r="A1604" s="2" t="s">
        <v>92</v>
      </c>
      <c r="B1604" s="2" t="s">
        <v>1983</v>
      </c>
      <c r="C1604" s="2" t="s">
        <v>484</v>
      </c>
      <c r="D1604" s="2" t="s">
        <v>194</v>
      </c>
      <c r="E1604" s="2" t="s">
        <v>1993</v>
      </c>
      <c r="F1604" s="3">
        <v>11.23</v>
      </c>
    </row>
    <row r="1605" spans="1:6" ht="15" customHeight="1" x14ac:dyDescent="0.25">
      <c r="A1605" s="2" t="s">
        <v>92</v>
      </c>
      <c r="B1605" s="2" t="s">
        <v>1983</v>
      </c>
      <c r="C1605" s="2" t="s">
        <v>486</v>
      </c>
      <c r="D1605" s="2" t="s">
        <v>194</v>
      </c>
      <c r="E1605" s="2" t="s">
        <v>1994</v>
      </c>
      <c r="F1605" s="3">
        <v>-1.68</v>
      </c>
    </row>
    <row r="1606" spans="1:6" ht="15" customHeight="1" x14ac:dyDescent="0.25">
      <c r="A1606" s="2" t="s">
        <v>92</v>
      </c>
      <c r="B1606" s="2" t="s">
        <v>1983</v>
      </c>
      <c r="C1606" s="2" t="s">
        <v>484</v>
      </c>
      <c r="D1606" s="2" t="s">
        <v>152</v>
      </c>
      <c r="E1606" s="2" t="s">
        <v>1995</v>
      </c>
      <c r="F1606" s="3">
        <v>5.2</v>
      </c>
    </row>
    <row r="1607" spans="1:6" ht="15" customHeight="1" x14ac:dyDescent="0.25">
      <c r="A1607" s="2" t="s">
        <v>92</v>
      </c>
      <c r="B1607" s="2" t="s">
        <v>1983</v>
      </c>
      <c r="C1607" s="2" t="s">
        <v>486</v>
      </c>
      <c r="D1607" s="2" t="s">
        <v>140</v>
      </c>
      <c r="E1607" s="2" t="s">
        <v>1996</v>
      </c>
      <c r="F1607" s="3">
        <v>-0.99</v>
      </c>
    </row>
    <row r="1608" spans="1:6" ht="15" customHeight="1" x14ac:dyDescent="0.25">
      <c r="A1608" s="2" t="s">
        <v>92</v>
      </c>
      <c r="B1608" s="2" t="s">
        <v>462</v>
      </c>
      <c r="C1608" s="2" t="s">
        <v>486</v>
      </c>
      <c r="D1608" s="2" t="s">
        <v>164</v>
      </c>
      <c r="E1608" s="2" t="s">
        <v>1997</v>
      </c>
      <c r="F1608" s="3">
        <v>-0.16</v>
      </c>
    </row>
    <row r="1609" spans="1:6" ht="15" customHeight="1" x14ac:dyDescent="0.25">
      <c r="A1609" s="2" t="s">
        <v>92</v>
      </c>
      <c r="B1609" s="2" t="s">
        <v>462</v>
      </c>
      <c r="C1609" s="2" t="s">
        <v>484</v>
      </c>
      <c r="D1609" s="2" t="s">
        <v>164</v>
      </c>
      <c r="E1609" s="2" t="s">
        <v>1998</v>
      </c>
      <c r="F1609" s="3">
        <v>1.1000000000000001</v>
      </c>
    </row>
    <row r="1610" spans="1:6" ht="15" customHeight="1" x14ac:dyDescent="0.25">
      <c r="A1610" s="2" t="s">
        <v>92</v>
      </c>
      <c r="B1610" s="2" t="s">
        <v>1999</v>
      </c>
      <c r="C1610" s="2" t="s">
        <v>484</v>
      </c>
      <c r="D1610" s="2" t="s">
        <v>244</v>
      </c>
      <c r="E1610" s="2" t="s">
        <v>2000</v>
      </c>
      <c r="F1610" s="3">
        <v>0.99</v>
      </c>
    </row>
    <row r="1611" spans="1:6" ht="15" customHeight="1" x14ac:dyDescent="0.25">
      <c r="A1611" s="2" t="s">
        <v>92</v>
      </c>
      <c r="B1611" s="2" t="s">
        <v>1999</v>
      </c>
      <c r="C1611" s="2" t="s">
        <v>486</v>
      </c>
      <c r="D1611" s="2" t="s">
        <v>140</v>
      </c>
      <c r="E1611" s="2" t="s">
        <v>1047</v>
      </c>
      <c r="F1611" s="3">
        <v>-0.86</v>
      </c>
    </row>
    <row r="1612" spans="1:6" ht="15" customHeight="1" x14ac:dyDescent="0.25">
      <c r="A1612" s="2" t="s">
        <v>92</v>
      </c>
      <c r="B1612" s="2" t="s">
        <v>1999</v>
      </c>
      <c r="C1612" s="2" t="s">
        <v>484</v>
      </c>
      <c r="D1612" s="2" t="s">
        <v>140</v>
      </c>
      <c r="E1612" s="2" t="s">
        <v>2001</v>
      </c>
      <c r="F1612" s="3">
        <v>5.74</v>
      </c>
    </row>
    <row r="1613" spans="1:6" ht="15" customHeight="1" x14ac:dyDescent="0.25">
      <c r="A1613" s="2" t="s">
        <v>92</v>
      </c>
      <c r="B1613" s="2" t="s">
        <v>1999</v>
      </c>
      <c r="C1613" s="2" t="s">
        <v>484</v>
      </c>
      <c r="D1613" s="2" t="s">
        <v>158</v>
      </c>
      <c r="E1613" s="2" t="s">
        <v>2002</v>
      </c>
      <c r="F1613" s="3">
        <v>1.56</v>
      </c>
    </row>
    <row r="1614" spans="1:6" ht="15" customHeight="1" x14ac:dyDescent="0.25">
      <c r="A1614" s="2" t="s">
        <v>92</v>
      </c>
      <c r="B1614" s="2" t="s">
        <v>1999</v>
      </c>
      <c r="C1614" s="2" t="s">
        <v>486</v>
      </c>
      <c r="D1614" s="2" t="s">
        <v>158</v>
      </c>
      <c r="E1614" s="2" t="s">
        <v>1909</v>
      </c>
      <c r="F1614" s="3">
        <v>-0.23</v>
      </c>
    </row>
    <row r="1615" spans="1:6" ht="15" customHeight="1" x14ac:dyDescent="0.25">
      <c r="A1615" s="2" t="s">
        <v>92</v>
      </c>
      <c r="B1615" s="2" t="s">
        <v>1999</v>
      </c>
      <c r="C1615" s="2" t="s">
        <v>484</v>
      </c>
      <c r="D1615" s="2" t="s">
        <v>132</v>
      </c>
      <c r="E1615" s="2" t="s">
        <v>2003</v>
      </c>
      <c r="F1615" s="3">
        <v>6.87</v>
      </c>
    </row>
    <row r="1616" spans="1:6" ht="15" customHeight="1" x14ac:dyDescent="0.25">
      <c r="A1616" s="2" t="s">
        <v>92</v>
      </c>
      <c r="B1616" s="2" t="s">
        <v>1999</v>
      </c>
      <c r="C1616" s="2" t="s">
        <v>486</v>
      </c>
      <c r="D1616" s="2" t="s">
        <v>132</v>
      </c>
      <c r="E1616" s="2" t="s">
        <v>2004</v>
      </c>
      <c r="F1616" s="3">
        <v>-1.03</v>
      </c>
    </row>
    <row r="1617" spans="1:6" ht="15" customHeight="1" x14ac:dyDescent="0.25">
      <c r="A1617" s="2" t="s">
        <v>92</v>
      </c>
      <c r="B1617" s="2" t="s">
        <v>1999</v>
      </c>
      <c r="C1617" s="2" t="s">
        <v>486</v>
      </c>
      <c r="D1617" s="2" t="s">
        <v>134</v>
      </c>
      <c r="E1617" s="2" t="s">
        <v>2005</v>
      </c>
      <c r="F1617" s="3">
        <v>-1.33</v>
      </c>
    </row>
    <row r="1618" spans="1:6" ht="15" customHeight="1" x14ac:dyDescent="0.25">
      <c r="A1618" s="2" t="s">
        <v>92</v>
      </c>
      <c r="B1618" s="2" t="s">
        <v>1999</v>
      </c>
      <c r="C1618" s="2" t="s">
        <v>484</v>
      </c>
      <c r="D1618" s="2" t="s">
        <v>134</v>
      </c>
      <c r="E1618" s="2" t="s">
        <v>2006</v>
      </c>
      <c r="F1618" s="3">
        <v>8.92</v>
      </c>
    </row>
    <row r="1619" spans="1:6" ht="15" customHeight="1" x14ac:dyDescent="0.25">
      <c r="A1619" s="2" t="s">
        <v>92</v>
      </c>
      <c r="B1619" s="2" t="s">
        <v>1999</v>
      </c>
      <c r="C1619" s="2" t="s">
        <v>486</v>
      </c>
      <c r="D1619" s="2" t="s">
        <v>152</v>
      </c>
      <c r="E1619" s="2" t="s">
        <v>630</v>
      </c>
      <c r="F1619" s="3">
        <v>-0.61</v>
      </c>
    </row>
    <row r="1620" spans="1:6" ht="15" customHeight="1" x14ac:dyDescent="0.25">
      <c r="A1620" s="2" t="s">
        <v>92</v>
      </c>
      <c r="B1620" s="2" t="s">
        <v>1999</v>
      </c>
      <c r="C1620" s="2" t="s">
        <v>484</v>
      </c>
      <c r="D1620" s="2" t="s">
        <v>152</v>
      </c>
      <c r="E1620" s="2" t="s">
        <v>2007</v>
      </c>
      <c r="F1620" s="3">
        <v>4.09</v>
      </c>
    </row>
    <row r="1621" spans="1:6" ht="15" customHeight="1" x14ac:dyDescent="0.25">
      <c r="A1621" s="2" t="s">
        <v>92</v>
      </c>
      <c r="B1621" s="2" t="s">
        <v>1999</v>
      </c>
      <c r="C1621" s="2" t="s">
        <v>486</v>
      </c>
      <c r="D1621" s="2" t="s">
        <v>145</v>
      </c>
      <c r="E1621" s="2" t="s">
        <v>2008</v>
      </c>
      <c r="F1621" s="3">
        <v>-0.95</v>
      </c>
    </row>
    <row r="1622" spans="1:6" ht="15" customHeight="1" x14ac:dyDescent="0.25">
      <c r="A1622" s="2" t="s">
        <v>92</v>
      </c>
      <c r="B1622" s="2" t="s">
        <v>1999</v>
      </c>
      <c r="C1622" s="2" t="s">
        <v>484</v>
      </c>
      <c r="D1622" s="2" t="s">
        <v>145</v>
      </c>
      <c r="E1622" s="2" t="s">
        <v>2009</v>
      </c>
      <c r="F1622" s="3">
        <v>6.36</v>
      </c>
    </row>
    <row r="1623" spans="1:6" ht="15" customHeight="1" x14ac:dyDescent="0.25">
      <c r="A1623" s="2" t="s">
        <v>92</v>
      </c>
      <c r="B1623" s="2" t="s">
        <v>1999</v>
      </c>
      <c r="C1623" s="2" t="s">
        <v>486</v>
      </c>
      <c r="D1623" s="2" t="s">
        <v>244</v>
      </c>
      <c r="E1623" s="2" t="s">
        <v>1821</v>
      </c>
      <c r="F1623" s="3">
        <v>-0.14000000000000001</v>
      </c>
    </row>
    <row r="1624" spans="1:6" ht="15" customHeight="1" x14ac:dyDescent="0.25">
      <c r="A1624" s="2" t="s">
        <v>92</v>
      </c>
      <c r="B1624" s="2" t="s">
        <v>1999</v>
      </c>
      <c r="C1624" s="2" t="s">
        <v>484</v>
      </c>
      <c r="D1624" s="2" t="s">
        <v>194</v>
      </c>
      <c r="E1624" s="2" t="s">
        <v>2010</v>
      </c>
      <c r="F1624" s="3">
        <v>6.69</v>
      </c>
    </row>
    <row r="1625" spans="1:6" ht="15" customHeight="1" x14ac:dyDescent="0.25">
      <c r="A1625" s="2" t="s">
        <v>92</v>
      </c>
      <c r="B1625" s="2" t="s">
        <v>1999</v>
      </c>
      <c r="C1625" s="2" t="s">
        <v>486</v>
      </c>
      <c r="D1625" s="2" t="s">
        <v>194</v>
      </c>
      <c r="E1625" s="2" t="s">
        <v>1956</v>
      </c>
      <c r="F1625" s="3">
        <v>-1</v>
      </c>
    </row>
    <row r="1626" spans="1:6" ht="15" customHeight="1" x14ac:dyDescent="0.25">
      <c r="A1626" s="2" t="s">
        <v>92</v>
      </c>
      <c r="B1626" s="2" t="s">
        <v>1999</v>
      </c>
      <c r="C1626" s="2" t="s">
        <v>486</v>
      </c>
      <c r="D1626" s="2" t="s">
        <v>136</v>
      </c>
      <c r="E1626" s="2" t="s">
        <v>1715</v>
      </c>
      <c r="F1626" s="3">
        <v>-0.84</v>
      </c>
    </row>
    <row r="1627" spans="1:6" ht="15" customHeight="1" x14ac:dyDescent="0.25">
      <c r="A1627" s="2" t="s">
        <v>92</v>
      </c>
      <c r="B1627" s="2" t="s">
        <v>1999</v>
      </c>
      <c r="C1627" s="2" t="s">
        <v>484</v>
      </c>
      <c r="D1627" s="2" t="s">
        <v>136</v>
      </c>
      <c r="E1627" s="2" t="s">
        <v>2011</v>
      </c>
      <c r="F1627" s="3">
        <v>5.66</v>
      </c>
    </row>
    <row r="1628" spans="1:6" ht="15" customHeight="1" x14ac:dyDescent="0.25">
      <c r="A1628" s="2" t="s">
        <v>92</v>
      </c>
      <c r="B1628" s="2" t="s">
        <v>2012</v>
      </c>
      <c r="C1628" s="2" t="s">
        <v>484</v>
      </c>
      <c r="D1628" s="2" t="s">
        <v>213</v>
      </c>
      <c r="E1628" s="2" t="s">
        <v>2013</v>
      </c>
      <c r="F1628" s="3">
        <v>4.0999999999999996</v>
      </c>
    </row>
    <row r="1629" spans="1:6" ht="15" customHeight="1" x14ac:dyDescent="0.25">
      <c r="A1629" s="2" t="s">
        <v>92</v>
      </c>
      <c r="B1629" s="2" t="s">
        <v>2012</v>
      </c>
      <c r="C1629" s="2" t="s">
        <v>486</v>
      </c>
      <c r="D1629" s="2" t="s">
        <v>213</v>
      </c>
      <c r="E1629" s="2" t="s">
        <v>2014</v>
      </c>
      <c r="F1629" s="3">
        <v>-0.61</v>
      </c>
    </row>
    <row r="1630" spans="1:6" ht="15" customHeight="1" x14ac:dyDescent="0.25">
      <c r="A1630" s="2" t="s">
        <v>92</v>
      </c>
      <c r="B1630" s="2" t="s">
        <v>2012</v>
      </c>
      <c r="C1630" s="2" t="s">
        <v>484</v>
      </c>
      <c r="D1630" s="2" t="s">
        <v>170</v>
      </c>
      <c r="E1630" s="2" t="s">
        <v>2015</v>
      </c>
      <c r="F1630" s="3">
        <v>3.81</v>
      </c>
    </row>
    <row r="1631" spans="1:6" ht="15" customHeight="1" x14ac:dyDescent="0.25">
      <c r="A1631" s="2" t="s">
        <v>92</v>
      </c>
      <c r="B1631" s="2" t="s">
        <v>2012</v>
      </c>
      <c r="C1631" s="2" t="s">
        <v>486</v>
      </c>
      <c r="D1631" s="2" t="s">
        <v>170</v>
      </c>
      <c r="E1631" s="2" t="s">
        <v>2016</v>
      </c>
      <c r="F1631" s="3">
        <v>-0.56999999999999995</v>
      </c>
    </row>
    <row r="1632" spans="1:6" ht="15" customHeight="1" x14ac:dyDescent="0.25">
      <c r="A1632" s="2" t="s">
        <v>92</v>
      </c>
      <c r="B1632" s="2" t="s">
        <v>2012</v>
      </c>
      <c r="C1632" s="2" t="s">
        <v>484</v>
      </c>
      <c r="D1632" s="2" t="s">
        <v>113</v>
      </c>
      <c r="E1632" s="2" t="s">
        <v>2017</v>
      </c>
      <c r="F1632" s="3">
        <v>0.79</v>
      </c>
    </row>
    <row r="1633" spans="1:6" ht="15" customHeight="1" x14ac:dyDescent="0.25">
      <c r="A1633" s="2" t="s">
        <v>92</v>
      </c>
      <c r="B1633" s="2" t="s">
        <v>2012</v>
      </c>
      <c r="C1633" s="2" t="s">
        <v>486</v>
      </c>
      <c r="D1633" s="2" t="s">
        <v>113</v>
      </c>
      <c r="E1633" s="2" t="s">
        <v>1216</v>
      </c>
      <c r="F1633" s="3">
        <v>-0.11</v>
      </c>
    </row>
    <row r="1634" spans="1:6" ht="15" customHeight="1" x14ac:dyDescent="0.25">
      <c r="A1634" s="2" t="s">
        <v>92</v>
      </c>
      <c r="B1634" s="2" t="s">
        <v>2012</v>
      </c>
      <c r="C1634" s="2" t="s">
        <v>484</v>
      </c>
      <c r="D1634" s="2" t="s">
        <v>247</v>
      </c>
      <c r="E1634" s="2" t="s">
        <v>2018</v>
      </c>
      <c r="F1634" s="3">
        <v>0.56000000000000005</v>
      </c>
    </row>
    <row r="1635" spans="1:6" ht="15" customHeight="1" x14ac:dyDescent="0.25">
      <c r="A1635" s="2" t="s">
        <v>92</v>
      </c>
      <c r="B1635" s="2" t="s">
        <v>2012</v>
      </c>
      <c r="C1635" s="2" t="s">
        <v>486</v>
      </c>
      <c r="D1635" s="2" t="s">
        <v>247</v>
      </c>
      <c r="E1635" s="2" t="s">
        <v>2019</v>
      </c>
      <c r="F1635" s="3">
        <v>-0.08</v>
      </c>
    </row>
    <row r="1636" spans="1:6" ht="15" customHeight="1" x14ac:dyDescent="0.25">
      <c r="A1636" s="2" t="s">
        <v>92</v>
      </c>
      <c r="B1636" s="2" t="s">
        <v>2020</v>
      </c>
      <c r="C1636" s="2" t="s">
        <v>486</v>
      </c>
      <c r="D1636" s="2" t="s">
        <v>190</v>
      </c>
      <c r="E1636" s="2" t="s">
        <v>987</v>
      </c>
      <c r="F1636" s="3">
        <v>-0.62</v>
      </c>
    </row>
    <row r="1637" spans="1:6" ht="15" customHeight="1" x14ac:dyDescent="0.25">
      <c r="A1637" s="2" t="s">
        <v>92</v>
      </c>
      <c r="B1637" s="2" t="s">
        <v>2020</v>
      </c>
      <c r="C1637" s="2" t="s">
        <v>484</v>
      </c>
      <c r="D1637" s="2" t="s">
        <v>240</v>
      </c>
      <c r="E1637" s="2" t="s">
        <v>2021</v>
      </c>
      <c r="F1637" s="3">
        <v>0.35</v>
      </c>
    </row>
    <row r="1638" spans="1:6" ht="15" customHeight="1" x14ac:dyDescent="0.25">
      <c r="A1638" s="2" t="s">
        <v>92</v>
      </c>
      <c r="B1638" s="2" t="s">
        <v>2020</v>
      </c>
      <c r="C1638" s="2" t="s">
        <v>484</v>
      </c>
      <c r="D1638" s="2" t="s">
        <v>190</v>
      </c>
      <c r="E1638" s="2" t="s">
        <v>2022</v>
      </c>
      <c r="F1638" s="3">
        <v>4.1900000000000004</v>
      </c>
    </row>
    <row r="1639" spans="1:6" ht="15" customHeight="1" x14ac:dyDescent="0.25">
      <c r="A1639" s="2" t="s">
        <v>92</v>
      </c>
      <c r="B1639" s="2" t="s">
        <v>2020</v>
      </c>
      <c r="C1639" s="2" t="s">
        <v>486</v>
      </c>
      <c r="D1639" s="2" t="s">
        <v>240</v>
      </c>
      <c r="E1639" s="2" t="s">
        <v>2023</v>
      </c>
      <c r="F1639" s="3">
        <v>-0.05</v>
      </c>
    </row>
    <row r="1640" spans="1:6" ht="15" customHeight="1" x14ac:dyDescent="0.25">
      <c r="A1640" s="2" t="s">
        <v>94</v>
      </c>
      <c r="B1640" s="2" t="s">
        <v>463</v>
      </c>
      <c r="C1640" s="2" t="s">
        <v>484</v>
      </c>
      <c r="D1640" s="2" t="s">
        <v>260</v>
      </c>
      <c r="E1640" s="2" t="s">
        <v>2024</v>
      </c>
      <c r="F1640" s="3">
        <v>0.9</v>
      </c>
    </row>
    <row r="1641" spans="1:6" ht="15" customHeight="1" x14ac:dyDescent="0.25">
      <c r="A1641" s="2" t="s">
        <v>94</v>
      </c>
      <c r="B1641" s="2" t="s">
        <v>463</v>
      </c>
      <c r="C1641" s="2" t="s">
        <v>486</v>
      </c>
      <c r="D1641" s="2" t="s">
        <v>260</v>
      </c>
      <c r="E1641" s="2" t="s">
        <v>1382</v>
      </c>
      <c r="F1641" s="3">
        <v>-0.13</v>
      </c>
    </row>
    <row r="1642" spans="1:6" ht="15" customHeight="1" x14ac:dyDescent="0.25">
      <c r="A1642" s="2" t="s">
        <v>94</v>
      </c>
      <c r="B1642" s="2" t="s">
        <v>463</v>
      </c>
      <c r="C1642" s="2" t="s">
        <v>486</v>
      </c>
      <c r="D1642" s="2" t="s">
        <v>173</v>
      </c>
      <c r="E1642" s="2" t="s">
        <v>1986</v>
      </c>
      <c r="F1642" s="3">
        <v>-0.25</v>
      </c>
    </row>
    <row r="1643" spans="1:6" ht="15" customHeight="1" x14ac:dyDescent="0.25">
      <c r="A1643" s="2" t="s">
        <v>94</v>
      </c>
      <c r="B1643" s="2" t="s">
        <v>463</v>
      </c>
      <c r="C1643" s="2" t="s">
        <v>484</v>
      </c>
      <c r="D1643" s="2" t="s">
        <v>173</v>
      </c>
      <c r="E1643" s="2" t="s">
        <v>2025</v>
      </c>
      <c r="F1643" s="3">
        <v>1.67</v>
      </c>
    </row>
    <row r="1644" spans="1:6" ht="15" customHeight="1" x14ac:dyDescent="0.25">
      <c r="A1644" s="2" t="s">
        <v>94</v>
      </c>
      <c r="B1644" s="2" t="s">
        <v>2026</v>
      </c>
      <c r="C1644" s="2" t="s">
        <v>484</v>
      </c>
      <c r="D1644" s="2" t="s">
        <v>129</v>
      </c>
      <c r="E1644" s="2" t="s">
        <v>2027</v>
      </c>
      <c r="F1644" s="3">
        <v>17.05</v>
      </c>
    </row>
    <row r="1645" spans="1:6" ht="15" customHeight="1" x14ac:dyDescent="0.25">
      <c r="A1645" s="2" t="s">
        <v>94</v>
      </c>
      <c r="B1645" s="2" t="s">
        <v>2026</v>
      </c>
      <c r="C1645" s="2" t="s">
        <v>486</v>
      </c>
      <c r="D1645" s="2" t="s">
        <v>129</v>
      </c>
      <c r="E1645" s="2" t="s">
        <v>2028</v>
      </c>
      <c r="F1645" s="3">
        <v>-2.5499999999999998</v>
      </c>
    </row>
    <row r="1646" spans="1:6" ht="15" customHeight="1" x14ac:dyDescent="0.25">
      <c r="A1646" s="2" t="s">
        <v>94</v>
      </c>
      <c r="B1646" s="2" t="s">
        <v>2026</v>
      </c>
      <c r="C1646" s="2" t="s">
        <v>486</v>
      </c>
      <c r="D1646" s="2" t="s">
        <v>164</v>
      </c>
      <c r="E1646" s="2" t="s">
        <v>546</v>
      </c>
      <c r="F1646" s="3">
        <v>-0.42</v>
      </c>
    </row>
    <row r="1647" spans="1:6" ht="15" customHeight="1" x14ac:dyDescent="0.25">
      <c r="A1647" s="2" t="s">
        <v>94</v>
      </c>
      <c r="B1647" s="2" t="s">
        <v>2026</v>
      </c>
      <c r="C1647" s="2" t="s">
        <v>484</v>
      </c>
      <c r="D1647" s="2" t="s">
        <v>164</v>
      </c>
      <c r="E1647" s="2" t="s">
        <v>2029</v>
      </c>
      <c r="F1647" s="3">
        <v>2.86</v>
      </c>
    </row>
    <row r="1648" spans="1:6" ht="15" customHeight="1" x14ac:dyDescent="0.25">
      <c r="A1648" s="2" t="s">
        <v>94</v>
      </c>
      <c r="B1648" s="2" t="s">
        <v>464</v>
      </c>
      <c r="C1648" s="2" t="s">
        <v>484</v>
      </c>
      <c r="D1648" s="2" t="s">
        <v>132</v>
      </c>
      <c r="E1648" s="2" t="s">
        <v>2030</v>
      </c>
      <c r="F1648" s="3">
        <v>6.63</v>
      </c>
    </row>
    <row r="1649" spans="1:6" ht="15" customHeight="1" x14ac:dyDescent="0.25">
      <c r="A1649" s="2" t="s">
        <v>94</v>
      </c>
      <c r="B1649" s="2" t="s">
        <v>464</v>
      </c>
      <c r="C1649" s="2" t="s">
        <v>486</v>
      </c>
      <c r="D1649" s="2" t="s">
        <v>132</v>
      </c>
      <c r="E1649" s="2" t="s">
        <v>2031</v>
      </c>
      <c r="F1649" s="3">
        <v>-0.99</v>
      </c>
    </row>
    <row r="1650" spans="1:6" ht="15" customHeight="1" x14ac:dyDescent="0.25">
      <c r="A1650" s="2" t="s">
        <v>94</v>
      </c>
      <c r="B1650" s="2" t="s">
        <v>464</v>
      </c>
      <c r="C1650" s="2" t="s">
        <v>486</v>
      </c>
      <c r="D1650" s="2" t="s">
        <v>152</v>
      </c>
      <c r="E1650" s="2" t="s">
        <v>2032</v>
      </c>
      <c r="F1650" s="3">
        <v>-0.6</v>
      </c>
    </row>
    <row r="1651" spans="1:6" ht="15" customHeight="1" x14ac:dyDescent="0.25">
      <c r="A1651" s="2" t="s">
        <v>94</v>
      </c>
      <c r="B1651" s="2" t="s">
        <v>464</v>
      </c>
      <c r="C1651" s="2" t="s">
        <v>484</v>
      </c>
      <c r="D1651" s="2" t="s">
        <v>152</v>
      </c>
      <c r="E1651" s="2" t="s">
        <v>2033</v>
      </c>
      <c r="F1651" s="3">
        <v>4.0199999999999996</v>
      </c>
    </row>
    <row r="1652" spans="1:6" ht="15" customHeight="1" x14ac:dyDescent="0.25">
      <c r="A1652" s="2" t="s">
        <v>94</v>
      </c>
      <c r="B1652" s="2" t="s">
        <v>464</v>
      </c>
      <c r="C1652" s="2" t="s">
        <v>484</v>
      </c>
      <c r="D1652" s="2" t="s">
        <v>140</v>
      </c>
      <c r="E1652" s="2" t="s">
        <v>2034</v>
      </c>
      <c r="F1652" s="3">
        <v>4.42</v>
      </c>
    </row>
    <row r="1653" spans="1:6" ht="15" customHeight="1" x14ac:dyDescent="0.25">
      <c r="A1653" s="2" t="s">
        <v>94</v>
      </c>
      <c r="B1653" s="2" t="s">
        <v>464</v>
      </c>
      <c r="C1653" s="2" t="s">
        <v>486</v>
      </c>
      <c r="D1653" s="2" t="s">
        <v>140</v>
      </c>
      <c r="E1653" s="2" t="s">
        <v>1835</v>
      </c>
      <c r="F1653" s="3">
        <v>-0.66</v>
      </c>
    </row>
    <row r="1654" spans="1:6" ht="15" customHeight="1" x14ac:dyDescent="0.25">
      <c r="A1654" s="2" t="s">
        <v>94</v>
      </c>
      <c r="B1654" s="2" t="s">
        <v>464</v>
      </c>
      <c r="C1654" s="2" t="s">
        <v>486</v>
      </c>
      <c r="D1654" s="2" t="s">
        <v>158</v>
      </c>
      <c r="E1654" s="2" t="s">
        <v>2035</v>
      </c>
      <c r="F1654" s="3">
        <v>-0.22</v>
      </c>
    </row>
    <row r="1655" spans="1:6" ht="15" customHeight="1" x14ac:dyDescent="0.25">
      <c r="A1655" s="2" t="s">
        <v>94</v>
      </c>
      <c r="B1655" s="2" t="s">
        <v>464</v>
      </c>
      <c r="C1655" s="2" t="s">
        <v>484</v>
      </c>
      <c r="D1655" s="2" t="s">
        <v>158</v>
      </c>
      <c r="E1655" s="2" t="s">
        <v>2036</v>
      </c>
      <c r="F1655" s="3">
        <v>1.52</v>
      </c>
    </row>
    <row r="1656" spans="1:6" ht="15" customHeight="1" x14ac:dyDescent="0.25">
      <c r="A1656" s="2" t="s">
        <v>94</v>
      </c>
      <c r="B1656" s="2" t="s">
        <v>464</v>
      </c>
      <c r="C1656" s="2" t="s">
        <v>484</v>
      </c>
      <c r="D1656" s="2" t="s">
        <v>145</v>
      </c>
      <c r="E1656" s="2" t="s">
        <v>2037</v>
      </c>
      <c r="F1656" s="3">
        <v>6.96</v>
      </c>
    </row>
    <row r="1657" spans="1:6" ht="15" customHeight="1" x14ac:dyDescent="0.25">
      <c r="A1657" s="2" t="s">
        <v>94</v>
      </c>
      <c r="B1657" s="2" t="s">
        <v>464</v>
      </c>
      <c r="C1657" s="2" t="s">
        <v>486</v>
      </c>
      <c r="D1657" s="2" t="s">
        <v>145</v>
      </c>
      <c r="E1657" s="2" t="s">
        <v>2038</v>
      </c>
      <c r="F1657" s="3">
        <v>-1.04</v>
      </c>
    </row>
    <row r="1658" spans="1:6" ht="15" customHeight="1" x14ac:dyDescent="0.25">
      <c r="A1658" s="2" t="s">
        <v>94</v>
      </c>
      <c r="B1658" s="2" t="s">
        <v>464</v>
      </c>
      <c r="C1658" s="2" t="s">
        <v>486</v>
      </c>
      <c r="D1658" s="2" t="s">
        <v>194</v>
      </c>
      <c r="E1658" s="2" t="s">
        <v>2039</v>
      </c>
      <c r="F1658" s="3">
        <v>-0.94</v>
      </c>
    </row>
    <row r="1659" spans="1:6" ht="15" customHeight="1" x14ac:dyDescent="0.25">
      <c r="A1659" s="2" t="s">
        <v>94</v>
      </c>
      <c r="B1659" s="2" t="s">
        <v>464</v>
      </c>
      <c r="C1659" s="2" t="s">
        <v>484</v>
      </c>
      <c r="D1659" s="2" t="s">
        <v>194</v>
      </c>
      <c r="E1659" s="2" t="s">
        <v>2040</v>
      </c>
      <c r="F1659" s="3">
        <v>6.3</v>
      </c>
    </row>
    <row r="1660" spans="1:6" ht="15" customHeight="1" x14ac:dyDescent="0.25">
      <c r="A1660" s="2" t="s">
        <v>94</v>
      </c>
      <c r="B1660" s="2" t="s">
        <v>464</v>
      </c>
      <c r="C1660" s="2" t="s">
        <v>484</v>
      </c>
      <c r="D1660" s="2" t="s">
        <v>162</v>
      </c>
      <c r="E1660" s="2" t="s">
        <v>2041</v>
      </c>
      <c r="F1660" s="3">
        <v>9.17</v>
      </c>
    </row>
    <row r="1661" spans="1:6" ht="15" customHeight="1" x14ac:dyDescent="0.25">
      <c r="A1661" s="2" t="s">
        <v>94</v>
      </c>
      <c r="B1661" s="2" t="s">
        <v>464</v>
      </c>
      <c r="C1661" s="2" t="s">
        <v>486</v>
      </c>
      <c r="D1661" s="2" t="s">
        <v>162</v>
      </c>
      <c r="E1661" s="2" t="s">
        <v>1582</v>
      </c>
      <c r="F1661" s="3">
        <v>-1.37</v>
      </c>
    </row>
    <row r="1662" spans="1:6" ht="15" customHeight="1" x14ac:dyDescent="0.25">
      <c r="A1662" s="2" t="s">
        <v>94</v>
      </c>
      <c r="B1662" s="2" t="s">
        <v>464</v>
      </c>
      <c r="C1662" s="2" t="s">
        <v>484</v>
      </c>
      <c r="D1662" s="2" t="s">
        <v>218</v>
      </c>
      <c r="E1662" s="2" t="s">
        <v>2042</v>
      </c>
      <c r="F1662" s="3">
        <v>9.74</v>
      </c>
    </row>
    <row r="1663" spans="1:6" ht="15" customHeight="1" x14ac:dyDescent="0.25">
      <c r="A1663" s="2" t="s">
        <v>94</v>
      </c>
      <c r="B1663" s="2" t="s">
        <v>464</v>
      </c>
      <c r="C1663" s="2" t="s">
        <v>486</v>
      </c>
      <c r="D1663" s="2" t="s">
        <v>218</v>
      </c>
      <c r="E1663" s="2" t="s">
        <v>788</v>
      </c>
      <c r="F1663" s="3">
        <v>-1.46</v>
      </c>
    </row>
    <row r="1664" spans="1:6" ht="15" customHeight="1" x14ac:dyDescent="0.25">
      <c r="A1664" s="2" t="s">
        <v>94</v>
      </c>
      <c r="B1664" s="2" t="s">
        <v>2043</v>
      </c>
      <c r="C1664" s="2" t="s">
        <v>484</v>
      </c>
      <c r="D1664" s="2" t="s">
        <v>166</v>
      </c>
      <c r="E1664" s="2" t="s">
        <v>2044</v>
      </c>
      <c r="F1664" s="3">
        <v>3.71</v>
      </c>
    </row>
    <row r="1665" spans="1:6" ht="15" customHeight="1" x14ac:dyDescent="0.25">
      <c r="A1665" s="2" t="s">
        <v>94</v>
      </c>
      <c r="B1665" s="2" t="s">
        <v>2043</v>
      </c>
      <c r="C1665" s="2" t="s">
        <v>486</v>
      </c>
      <c r="D1665" s="2" t="s">
        <v>166</v>
      </c>
      <c r="E1665" s="2" t="s">
        <v>919</v>
      </c>
      <c r="F1665" s="3">
        <v>-0.55000000000000004</v>
      </c>
    </row>
    <row r="1666" spans="1:6" ht="15" customHeight="1" x14ac:dyDescent="0.25">
      <c r="A1666" s="2" t="s">
        <v>94</v>
      </c>
      <c r="B1666" s="2" t="s">
        <v>2043</v>
      </c>
      <c r="C1666" s="2" t="s">
        <v>486</v>
      </c>
      <c r="D1666" s="2" t="s">
        <v>127</v>
      </c>
      <c r="E1666" s="2" t="s">
        <v>2045</v>
      </c>
      <c r="F1666" s="3">
        <v>-1.89</v>
      </c>
    </row>
    <row r="1667" spans="1:6" ht="15" customHeight="1" x14ac:dyDescent="0.25">
      <c r="A1667" s="2" t="s">
        <v>94</v>
      </c>
      <c r="B1667" s="2" t="s">
        <v>2043</v>
      </c>
      <c r="C1667" s="2" t="s">
        <v>484</v>
      </c>
      <c r="D1667" s="2" t="s">
        <v>127</v>
      </c>
      <c r="E1667" s="2" t="s">
        <v>2046</v>
      </c>
      <c r="F1667" s="3">
        <v>12.64</v>
      </c>
    </row>
    <row r="1668" spans="1:6" ht="15" customHeight="1" x14ac:dyDescent="0.25">
      <c r="A1668" s="2" t="s">
        <v>94</v>
      </c>
      <c r="B1668" s="2" t="s">
        <v>2043</v>
      </c>
      <c r="C1668" s="2" t="s">
        <v>484</v>
      </c>
      <c r="D1668" s="2" t="s">
        <v>143</v>
      </c>
      <c r="E1668" s="2" t="s">
        <v>2047</v>
      </c>
      <c r="F1668" s="3">
        <v>12.34</v>
      </c>
    </row>
    <row r="1669" spans="1:6" ht="15" customHeight="1" x14ac:dyDescent="0.25">
      <c r="A1669" s="2" t="s">
        <v>94</v>
      </c>
      <c r="B1669" s="2" t="s">
        <v>2043</v>
      </c>
      <c r="C1669" s="2" t="s">
        <v>486</v>
      </c>
      <c r="D1669" s="2" t="s">
        <v>143</v>
      </c>
      <c r="E1669" s="2" t="s">
        <v>2048</v>
      </c>
      <c r="F1669" s="3">
        <v>-1.85</v>
      </c>
    </row>
    <row r="1670" spans="1:6" ht="15" customHeight="1" x14ac:dyDescent="0.25">
      <c r="A1670" s="2" t="s">
        <v>94</v>
      </c>
      <c r="B1670" s="2" t="s">
        <v>2043</v>
      </c>
      <c r="C1670" s="2" t="s">
        <v>484</v>
      </c>
      <c r="D1670" s="2" t="s">
        <v>185</v>
      </c>
      <c r="E1670" s="2" t="s">
        <v>2049</v>
      </c>
      <c r="F1670" s="3">
        <v>2.41</v>
      </c>
    </row>
    <row r="1671" spans="1:6" ht="15" customHeight="1" x14ac:dyDescent="0.25">
      <c r="A1671" s="2" t="s">
        <v>94</v>
      </c>
      <c r="B1671" s="2" t="s">
        <v>2043</v>
      </c>
      <c r="C1671" s="2" t="s">
        <v>486</v>
      </c>
      <c r="D1671" s="2" t="s">
        <v>185</v>
      </c>
      <c r="E1671" s="2" t="s">
        <v>1319</v>
      </c>
      <c r="F1671" s="3">
        <v>-0.36</v>
      </c>
    </row>
    <row r="1672" spans="1:6" ht="15" customHeight="1" x14ac:dyDescent="0.25">
      <c r="A1672" s="2" t="s">
        <v>94</v>
      </c>
      <c r="B1672" s="2" t="s">
        <v>2043</v>
      </c>
      <c r="C1672" s="2" t="s">
        <v>486</v>
      </c>
      <c r="D1672" s="2" t="s">
        <v>115</v>
      </c>
      <c r="E1672" s="2" t="s">
        <v>2050</v>
      </c>
      <c r="F1672" s="3">
        <v>-2.92</v>
      </c>
    </row>
    <row r="1673" spans="1:6" ht="15" customHeight="1" x14ac:dyDescent="0.25">
      <c r="A1673" s="2" t="s">
        <v>94</v>
      </c>
      <c r="B1673" s="2" t="s">
        <v>2043</v>
      </c>
      <c r="C1673" s="2" t="s">
        <v>484</v>
      </c>
      <c r="D1673" s="2" t="s">
        <v>115</v>
      </c>
      <c r="E1673" s="2" t="s">
        <v>2051</v>
      </c>
      <c r="F1673" s="3">
        <v>19.489999999999998</v>
      </c>
    </row>
    <row r="1674" spans="1:6" ht="15" customHeight="1" x14ac:dyDescent="0.25">
      <c r="A1674" s="2" t="s">
        <v>94</v>
      </c>
      <c r="B1674" s="2" t="s">
        <v>2043</v>
      </c>
      <c r="C1674" s="2" t="s">
        <v>484</v>
      </c>
      <c r="D1674" s="2" t="s">
        <v>119</v>
      </c>
      <c r="E1674" s="2" t="s">
        <v>2052</v>
      </c>
      <c r="F1674" s="3">
        <v>13.96</v>
      </c>
    </row>
    <row r="1675" spans="1:6" ht="15" customHeight="1" x14ac:dyDescent="0.25">
      <c r="A1675" s="2" t="s">
        <v>94</v>
      </c>
      <c r="B1675" s="2" t="s">
        <v>2043</v>
      </c>
      <c r="C1675" s="2" t="s">
        <v>486</v>
      </c>
      <c r="D1675" s="2" t="s">
        <v>119</v>
      </c>
      <c r="E1675" s="2" t="s">
        <v>2053</v>
      </c>
      <c r="F1675" s="3">
        <v>-2.09</v>
      </c>
    </row>
    <row r="1676" spans="1:6" ht="15" customHeight="1" x14ac:dyDescent="0.25">
      <c r="A1676" s="2" t="s">
        <v>94</v>
      </c>
      <c r="B1676" s="2" t="s">
        <v>2054</v>
      </c>
      <c r="C1676" s="2" t="s">
        <v>486</v>
      </c>
      <c r="D1676" s="2" t="s">
        <v>183</v>
      </c>
      <c r="E1676" s="2" t="s">
        <v>2055</v>
      </c>
      <c r="F1676" s="3">
        <v>-0.73</v>
      </c>
    </row>
    <row r="1677" spans="1:6" ht="15" customHeight="1" x14ac:dyDescent="0.25">
      <c r="A1677" s="2" t="s">
        <v>94</v>
      </c>
      <c r="B1677" s="2" t="s">
        <v>2054</v>
      </c>
      <c r="C1677" s="2" t="s">
        <v>484</v>
      </c>
      <c r="D1677" s="2" t="s">
        <v>183</v>
      </c>
      <c r="E1677" s="2" t="s">
        <v>2056</v>
      </c>
      <c r="F1677" s="3">
        <v>4.8899999999999997</v>
      </c>
    </row>
    <row r="1678" spans="1:6" ht="15" customHeight="1" x14ac:dyDescent="0.25">
      <c r="A1678" s="2" t="s">
        <v>94</v>
      </c>
      <c r="B1678" s="2" t="s">
        <v>465</v>
      </c>
      <c r="C1678" s="2" t="s">
        <v>484</v>
      </c>
      <c r="D1678" s="2" t="s">
        <v>164</v>
      </c>
      <c r="E1678" s="2" t="s">
        <v>2057</v>
      </c>
      <c r="F1678" s="3">
        <v>2.95</v>
      </c>
    </row>
    <row r="1679" spans="1:6" ht="15" customHeight="1" x14ac:dyDescent="0.25">
      <c r="A1679" s="2" t="s">
        <v>94</v>
      </c>
      <c r="B1679" s="2" t="s">
        <v>465</v>
      </c>
      <c r="C1679" s="2" t="s">
        <v>486</v>
      </c>
      <c r="D1679" s="2" t="s">
        <v>164</v>
      </c>
      <c r="E1679" s="2" t="s">
        <v>2058</v>
      </c>
      <c r="F1679" s="3">
        <v>-0.44</v>
      </c>
    </row>
    <row r="1680" spans="1:6" ht="15" customHeight="1" x14ac:dyDescent="0.25">
      <c r="A1680" s="2" t="s">
        <v>94</v>
      </c>
      <c r="B1680" s="2" t="s">
        <v>465</v>
      </c>
      <c r="C1680" s="2" t="s">
        <v>484</v>
      </c>
      <c r="D1680" s="2" t="s">
        <v>177</v>
      </c>
      <c r="E1680" s="2" t="s">
        <v>2059</v>
      </c>
      <c r="F1680" s="3">
        <v>0.79</v>
      </c>
    </row>
    <row r="1681" spans="1:6" ht="15" customHeight="1" x14ac:dyDescent="0.25">
      <c r="A1681" s="2" t="s">
        <v>94</v>
      </c>
      <c r="B1681" s="2" t="s">
        <v>466</v>
      </c>
      <c r="C1681" s="2" t="s">
        <v>486</v>
      </c>
      <c r="D1681" s="2" t="s">
        <v>140</v>
      </c>
      <c r="E1681" s="2" t="s">
        <v>2060</v>
      </c>
      <c r="F1681" s="3">
        <v>-0.66</v>
      </c>
    </row>
    <row r="1682" spans="1:6" ht="15" customHeight="1" x14ac:dyDescent="0.25">
      <c r="A1682" s="2" t="s">
        <v>94</v>
      </c>
      <c r="B1682" s="2" t="s">
        <v>466</v>
      </c>
      <c r="C1682" s="2" t="s">
        <v>484</v>
      </c>
      <c r="D1682" s="2" t="s">
        <v>140</v>
      </c>
      <c r="E1682" s="2" t="s">
        <v>2061</v>
      </c>
      <c r="F1682" s="3">
        <v>4.43</v>
      </c>
    </row>
    <row r="1683" spans="1:6" ht="15" customHeight="1" x14ac:dyDescent="0.25">
      <c r="A1683" s="2" t="s">
        <v>94</v>
      </c>
      <c r="B1683" s="2" t="s">
        <v>466</v>
      </c>
      <c r="C1683" s="2" t="s">
        <v>486</v>
      </c>
      <c r="D1683" s="2" t="s">
        <v>158</v>
      </c>
      <c r="E1683" s="2" t="s">
        <v>2062</v>
      </c>
      <c r="F1683" s="3">
        <v>-0.24</v>
      </c>
    </row>
    <row r="1684" spans="1:6" ht="15" customHeight="1" x14ac:dyDescent="0.25">
      <c r="A1684" s="2" t="s">
        <v>94</v>
      </c>
      <c r="B1684" s="2" t="s">
        <v>466</v>
      </c>
      <c r="C1684" s="2" t="s">
        <v>484</v>
      </c>
      <c r="D1684" s="2" t="s">
        <v>158</v>
      </c>
      <c r="E1684" s="2" t="s">
        <v>2063</v>
      </c>
      <c r="F1684" s="3">
        <v>1.63</v>
      </c>
    </row>
    <row r="1685" spans="1:6" ht="15" customHeight="1" x14ac:dyDescent="0.25">
      <c r="A1685" s="2" t="s">
        <v>94</v>
      </c>
      <c r="B1685" s="2" t="s">
        <v>466</v>
      </c>
      <c r="C1685" s="2" t="s">
        <v>486</v>
      </c>
      <c r="D1685" s="2" t="s">
        <v>132</v>
      </c>
      <c r="E1685" s="2" t="s">
        <v>2064</v>
      </c>
      <c r="F1685" s="3">
        <v>-1.07</v>
      </c>
    </row>
    <row r="1686" spans="1:6" ht="15" customHeight="1" x14ac:dyDescent="0.25">
      <c r="A1686" s="2" t="s">
        <v>94</v>
      </c>
      <c r="B1686" s="2" t="s">
        <v>466</v>
      </c>
      <c r="C1686" s="2" t="s">
        <v>484</v>
      </c>
      <c r="D1686" s="2" t="s">
        <v>132</v>
      </c>
      <c r="E1686" s="2" t="s">
        <v>2065</v>
      </c>
      <c r="F1686" s="3">
        <v>7.17</v>
      </c>
    </row>
    <row r="1687" spans="1:6" ht="15" customHeight="1" x14ac:dyDescent="0.25">
      <c r="A1687" s="2" t="s">
        <v>94</v>
      </c>
      <c r="B1687" s="2" t="s">
        <v>466</v>
      </c>
      <c r="C1687" s="2" t="s">
        <v>484</v>
      </c>
      <c r="D1687" s="2" t="s">
        <v>152</v>
      </c>
      <c r="E1687" s="2" t="s">
        <v>2066</v>
      </c>
      <c r="F1687" s="3">
        <v>3.91</v>
      </c>
    </row>
    <row r="1688" spans="1:6" ht="15" customHeight="1" x14ac:dyDescent="0.25">
      <c r="A1688" s="2" t="s">
        <v>94</v>
      </c>
      <c r="B1688" s="2" t="s">
        <v>466</v>
      </c>
      <c r="C1688" s="2" t="s">
        <v>486</v>
      </c>
      <c r="D1688" s="2" t="s">
        <v>152</v>
      </c>
      <c r="E1688" s="2" t="s">
        <v>2067</v>
      </c>
      <c r="F1688" s="3">
        <v>-0.57999999999999996</v>
      </c>
    </row>
    <row r="1689" spans="1:6" ht="15" customHeight="1" x14ac:dyDescent="0.25">
      <c r="A1689" s="2" t="s">
        <v>94</v>
      </c>
      <c r="B1689" s="2" t="s">
        <v>466</v>
      </c>
      <c r="C1689" s="2" t="s">
        <v>486</v>
      </c>
      <c r="D1689" s="2" t="s">
        <v>145</v>
      </c>
      <c r="E1689" s="2" t="s">
        <v>2068</v>
      </c>
      <c r="F1689" s="3">
        <v>-1</v>
      </c>
    </row>
    <row r="1690" spans="1:6" ht="15" customHeight="1" x14ac:dyDescent="0.25">
      <c r="A1690" s="2" t="s">
        <v>94</v>
      </c>
      <c r="B1690" s="2" t="s">
        <v>466</v>
      </c>
      <c r="C1690" s="2" t="s">
        <v>484</v>
      </c>
      <c r="D1690" s="2" t="s">
        <v>145</v>
      </c>
      <c r="E1690" s="2" t="s">
        <v>2069</v>
      </c>
      <c r="F1690" s="3">
        <v>6.73</v>
      </c>
    </row>
    <row r="1691" spans="1:6" ht="15" customHeight="1" x14ac:dyDescent="0.25">
      <c r="A1691" s="2" t="s">
        <v>94</v>
      </c>
      <c r="B1691" s="2" t="s">
        <v>466</v>
      </c>
      <c r="C1691" s="2" t="s">
        <v>484</v>
      </c>
      <c r="D1691" s="2" t="s">
        <v>194</v>
      </c>
      <c r="E1691" s="2" t="s">
        <v>2070</v>
      </c>
      <c r="F1691" s="3">
        <v>6.37</v>
      </c>
    </row>
    <row r="1692" spans="1:6" ht="15" customHeight="1" x14ac:dyDescent="0.25">
      <c r="A1692" s="2" t="s">
        <v>94</v>
      </c>
      <c r="B1692" s="2" t="s">
        <v>466</v>
      </c>
      <c r="C1692" s="2" t="s">
        <v>486</v>
      </c>
      <c r="D1692" s="2" t="s">
        <v>194</v>
      </c>
      <c r="E1692" s="2" t="s">
        <v>1968</v>
      </c>
      <c r="F1692" s="3">
        <v>-0.95</v>
      </c>
    </row>
    <row r="1693" spans="1:6" ht="15" customHeight="1" x14ac:dyDescent="0.25">
      <c r="A1693" s="2" t="s">
        <v>94</v>
      </c>
      <c r="B1693" s="2" t="s">
        <v>467</v>
      </c>
      <c r="C1693" s="2" t="s">
        <v>486</v>
      </c>
      <c r="D1693" s="2" t="s">
        <v>196</v>
      </c>
      <c r="E1693" s="2" t="s">
        <v>2004</v>
      </c>
      <c r="F1693" s="3">
        <v>-1.03</v>
      </c>
    </row>
    <row r="1694" spans="1:6" ht="15" customHeight="1" x14ac:dyDescent="0.25">
      <c r="A1694" s="2" t="s">
        <v>94</v>
      </c>
      <c r="B1694" s="2" t="s">
        <v>467</v>
      </c>
      <c r="C1694" s="2" t="s">
        <v>484</v>
      </c>
      <c r="D1694" s="2" t="s">
        <v>196</v>
      </c>
      <c r="E1694" s="2" t="s">
        <v>2071</v>
      </c>
      <c r="F1694" s="3">
        <v>6.87</v>
      </c>
    </row>
    <row r="1695" spans="1:6" ht="15" customHeight="1" x14ac:dyDescent="0.25">
      <c r="A1695" s="2" t="s">
        <v>94</v>
      </c>
      <c r="B1695" s="2" t="s">
        <v>468</v>
      </c>
      <c r="C1695" s="2" t="s">
        <v>486</v>
      </c>
      <c r="D1695" s="2" t="s">
        <v>154</v>
      </c>
      <c r="E1695" s="2" t="s">
        <v>1294</v>
      </c>
      <c r="F1695" s="3">
        <v>-0.39</v>
      </c>
    </row>
    <row r="1696" spans="1:6" ht="15" customHeight="1" x14ac:dyDescent="0.25">
      <c r="A1696" s="2" t="s">
        <v>94</v>
      </c>
      <c r="B1696" s="2" t="s">
        <v>468</v>
      </c>
      <c r="C1696" s="2" t="s">
        <v>484</v>
      </c>
      <c r="D1696" s="2" t="s">
        <v>154</v>
      </c>
      <c r="E1696" s="2" t="s">
        <v>2072</v>
      </c>
      <c r="F1696" s="3">
        <v>2.64</v>
      </c>
    </row>
    <row r="1697" spans="1:6" ht="15" customHeight="1" x14ac:dyDescent="0.25">
      <c r="A1697" s="2" t="s">
        <v>94</v>
      </c>
      <c r="B1697" s="2" t="s">
        <v>2073</v>
      </c>
      <c r="C1697" s="2" t="s">
        <v>486</v>
      </c>
      <c r="D1697" s="2" t="s">
        <v>215</v>
      </c>
      <c r="E1697" s="2" t="s">
        <v>1963</v>
      </c>
      <c r="F1697" s="3">
        <v>-1.36</v>
      </c>
    </row>
    <row r="1698" spans="1:6" ht="15" customHeight="1" x14ac:dyDescent="0.25">
      <c r="A1698" s="2" t="s">
        <v>94</v>
      </c>
      <c r="B1698" s="2" t="s">
        <v>2073</v>
      </c>
      <c r="C1698" s="2" t="s">
        <v>484</v>
      </c>
      <c r="D1698" s="2" t="s">
        <v>215</v>
      </c>
      <c r="E1698" s="2" t="s">
        <v>2074</v>
      </c>
      <c r="F1698" s="3">
        <v>9.1</v>
      </c>
    </row>
    <row r="1699" spans="1:6" ht="15" customHeight="1" x14ac:dyDescent="0.25">
      <c r="A1699" s="2" t="s">
        <v>94</v>
      </c>
      <c r="B1699" s="2" t="s">
        <v>2073</v>
      </c>
      <c r="C1699" s="2" t="s">
        <v>484</v>
      </c>
      <c r="D1699" s="2" t="s">
        <v>179</v>
      </c>
      <c r="E1699" s="2" t="s">
        <v>2075</v>
      </c>
      <c r="F1699" s="3">
        <v>8</v>
      </c>
    </row>
    <row r="1700" spans="1:6" ht="15" customHeight="1" x14ac:dyDescent="0.25">
      <c r="A1700" s="2" t="s">
        <v>94</v>
      </c>
      <c r="B1700" s="2" t="s">
        <v>2073</v>
      </c>
      <c r="C1700" s="2" t="s">
        <v>486</v>
      </c>
      <c r="D1700" s="2" t="s">
        <v>179</v>
      </c>
      <c r="E1700" s="2" t="s">
        <v>662</v>
      </c>
      <c r="F1700" s="3">
        <v>-1.2</v>
      </c>
    </row>
    <row r="1701" spans="1:6" ht="15" customHeight="1" x14ac:dyDescent="0.25">
      <c r="A1701" s="2" t="s">
        <v>94</v>
      </c>
      <c r="B1701" s="2" t="s">
        <v>2073</v>
      </c>
      <c r="C1701" s="2" t="s">
        <v>486</v>
      </c>
      <c r="D1701" s="2" t="s">
        <v>164</v>
      </c>
      <c r="E1701" s="2" t="s">
        <v>2076</v>
      </c>
      <c r="F1701" s="3">
        <v>-0.45</v>
      </c>
    </row>
    <row r="1702" spans="1:6" ht="15" customHeight="1" x14ac:dyDescent="0.25">
      <c r="A1702" s="2" t="s">
        <v>94</v>
      </c>
      <c r="B1702" s="2" t="s">
        <v>2073</v>
      </c>
      <c r="C1702" s="2" t="s">
        <v>484</v>
      </c>
      <c r="D1702" s="2" t="s">
        <v>164</v>
      </c>
      <c r="E1702" s="2" t="s">
        <v>2077</v>
      </c>
      <c r="F1702" s="3">
        <v>3.01</v>
      </c>
    </row>
    <row r="1703" spans="1:6" ht="15" customHeight="1" x14ac:dyDescent="0.25">
      <c r="A1703" s="2" t="s">
        <v>94</v>
      </c>
      <c r="B1703" s="2" t="s">
        <v>2078</v>
      </c>
      <c r="C1703" s="2" t="s">
        <v>484</v>
      </c>
      <c r="D1703" s="2" t="s">
        <v>140</v>
      </c>
      <c r="E1703" s="2" t="s">
        <v>2079</v>
      </c>
      <c r="F1703" s="3">
        <v>4.51</v>
      </c>
    </row>
    <row r="1704" spans="1:6" ht="15" customHeight="1" x14ac:dyDescent="0.25">
      <c r="A1704" s="2" t="s">
        <v>94</v>
      </c>
      <c r="B1704" s="2" t="s">
        <v>2078</v>
      </c>
      <c r="C1704" s="2" t="s">
        <v>486</v>
      </c>
      <c r="D1704" s="2" t="s">
        <v>140</v>
      </c>
      <c r="E1704" s="2" t="s">
        <v>1815</v>
      </c>
      <c r="F1704" s="3">
        <v>-0.67</v>
      </c>
    </row>
    <row r="1705" spans="1:6" ht="15" customHeight="1" x14ac:dyDescent="0.25">
      <c r="A1705" s="2" t="s">
        <v>94</v>
      </c>
      <c r="B1705" s="2" t="s">
        <v>2078</v>
      </c>
      <c r="C1705" s="2" t="s">
        <v>486</v>
      </c>
      <c r="D1705" s="2" t="s">
        <v>132</v>
      </c>
      <c r="E1705" s="2" t="s">
        <v>662</v>
      </c>
      <c r="F1705" s="3">
        <v>-1.2</v>
      </c>
    </row>
    <row r="1706" spans="1:6" ht="15" customHeight="1" x14ac:dyDescent="0.25">
      <c r="A1706" s="2" t="s">
        <v>94</v>
      </c>
      <c r="B1706" s="2" t="s">
        <v>2078</v>
      </c>
      <c r="C1706" s="2" t="s">
        <v>484</v>
      </c>
      <c r="D1706" s="2" t="s">
        <v>132</v>
      </c>
      <c r="E1706" s="2" t="s">
        <v>2080</v>
      </c>
      <c r="F1706" s="3">
        <v>8</v>
      </c>
    </row>
    <row r="1707" spans="1:6" ht="15" customHeight="1" x14ac:dyDescent="0.25">
      <c r="A1707" s="2" t="s">
        <v>94</v>
      </c>
      <c r="B1707" s="2" t="s">
        <v>2078</v>
      </c>
      <c r="C1707" s="2" t="s">
        <v>484</v>
      </c>
      <c r="D1707" s="2" t="s">
        <v>152</v>
      </c>
      <c r="E1707" s="2" t="s">
        <v>2081</v>
      </c>
      <c r="F1707" s="3">
        <v>4.1500000000000004</v>
      </c>
    </row>
    <row r="1708" spans="1:6" ht="15" customHeight="1" x14ac:dyDescent="0.25">
      <c r="A1708" s="2" t="s">
        <v>94</v>
      </c>
      <c r="B1708" s="2" t="s">
        <v>2078</v>
      </c>
      <c r="C1708" s="2" t="s">
        <v>486</v>
      </c>
      <c r="D1708" s="2" t="s">
        <v>152</v>
      </c>
      <c r="E1708" s="2" t="s">
        <v>1951</v>
      </c>
      <c r="F1708" s="3">
        <v>-0.62</v>
      </c>
    </row>
    <row r="1709" spans="1:6" ht="15" customHeight="1" x14ac:dyDescent="0.25">
      <c r="A1709" s="2" t="s">
        <v>94</v>
      </c>
      <c r="B1709" s="2" t="s">
        <v>2078</v>
      </c>
      <c r="C1709" s="2" t="s">
        <v>486</v>
      </c>
      <c r="D1709" s="2" t="s">
        <v>145</v>
      </c>
      <c r="E1709" s="2" t="s">
        <v>678</v>
      </c>
      <c r="F1709" s="3">
        <v>-1.1000000000000001</v>
      </c>
    </row>
    <row r="1710" spans="1:6" ht="15" customHeight="1" x14ac:dyDescent="0.25">
      <c r="A1710" s="2" t="s">
        <v>94</v>
      </c>
      <c r="B1710" s="2" t="s">
        <v>2078</v>
      </c>
      <c r="C1710" s="2" t="s">
        <v>484</v>
      </c>
      <c r="D1710" s="2" t="s">
        <v>145</v>
      </c>
      <c r="E1710" s="2" t="s">
        <v>2082</v>
      </c>
      <c r="F1710" s="3">
        <v>7.35</v>
      </c>
    </row>
    <row r="1711" spans="1:6" ht="15" customHeight="1" x14ac:dyDescent="0.25">
      <c r="A1711" s="2" t="s">
        <v>94</v>
      </c>
      <c r="B1711" s="2" t="s">
        <v>2078</v>
      </c>
      <c r="C1711" s="2" t="s">
        <v>484</v>
      </c>
      <c r="D1711" s="2" t="s">
        <v>194</v>
      </c>
      <c r="E1711" s="2" t="s">
        <v>2083</v>
      </c>
      <c r="F1711" s="3">
        <v>4.9800000000000004</v>
      </c>
    </row>
    <row r="1712" spans="1:6" ht="15" customHeight="1" x14ac:dyDescent="0.25">
      <c r="A1712" s="2" t="s">
        <v>94</v>
      </c>
      <c r="B1712" s="2" t="s">
        <v>2078</v>
      </c>
      <c r="C1712" s="2" t="s">
        <v>486</v>
      </c>
      <c r="D1712" s="2" t="s">
        <v>194</v>
      </c>
      <c r="E1712" s="2" t="s">
        <v>2084</v>
      </c>
      <c r="F1712" s="3">
        <v>-0.74</v>
      </c>
    </row>
    <row r="1713" spans="1:6" ht="15" customHeight="1" x14ac:dyDescent="0.25">
      <c r="A1713" s="2" t="s">
        <v>94</v>
      </c>
      <c r="B1713" s="2" t="s">
        <v>470</v>
      </c>
      <c r="C1713" s="2" t="s">
        <v>484</v>
      </c>
      <c r="D1713" s="2" t="s">
        <v>140</v>
      </c>
      <c r="E1713" s="2" t="s">
        <v>2085</v>
      </c>
      <c r="F1713" s="3">
        <v>4.8899999999999997</v>
      </c>
    </row>
    <row r="1714" spans="1:6" ht="15" customHeight="1" x14ac:dyDescent="0.25">
      <c r="A1714" s="2" t="s">
        <v>94</v>
      </c>
      <c r="B1714" s="2" t="s">
        <v>470</v>
      </c>
      <c r="C1714" s="2" t="s">
        <v>486</v>
      </c>
      <c r="D1714" s="2" t="s">
        <v>140</v>
      </c>
      <c r="E1714" s="2" t="s">
        <v>2055</v>
      </c>
      <c r="F1714" s="3">
        <v>-0.73</v>
      </c>
    </row>
    <row r="1715" spans="1:6" ht="15" customHeight="1" x14ac:dyDescent="0.25">
      <c r="A1715" s="2" t="s">
        <v>94</v>
      </c>
      <c r="B1715" s="2" t="s">
        <v>470</v>
      </c>
      <c r="C1715" s="2" t="s">
        <v>486</v>
      </c>
      <c r="D1715" s="2" t="s">
        <v>132</v>
      </c>
      <c r="E1715" s="2" t="s">
        <v>2086</v>
      </c>
      <c r="F1715" s="3">
        <v>-1.57</v>
      </c>
    </row>
    <row r="1716" spans="1:6" ht="15" customHeight="1" x14ac:dyDescent="0.25">
      <c r="A1716" s="2" t="s">
        <v>94</v>
      </c>
      <c r="B1716" s="2" t="s">
        <v>470</v>
      </c>
      <c r="C1716" s="2" t="s">
        <v>484</v>
      </c>
      <c r="D1716" s="2" t="s">
        <v>132</v>
      </c>
      <c r="E1716" s="2" t="s">
        <v>2087</v>
      </c>
      <c r="F1716" s="3">
        <v>10.53</v>
      </c>
    </row>
    <row r="1717" spans="1:6" ht="15" customHeight="1" x14ac:dyDescent="0.25">
      <c r="A1717" s="2" t="s">
        <v>94</v>
      </c>
      <c r="B1717" s="2" t="s">
        <v>470</v>
      </c>
      <c r="C1717" s="2" t="s">
        <v>486</v>
      </c>
      <c r="D1717" s="2" t="s">
        <v>134</v>
      </c>
      <c r="E1717" s="2" t="s">
        <v>2088</v>
      </c>
      <c r="F1717" s="3">
        <v>-1.33</v>
      </c>
    </row>
    <row r="1718" spans="1:6" ht="15" customHeight="1" x14ac:dyDescent="0.25">
      <c r="A1718" s="2" t="s">
        <v>94</v>
      </c>
      <c r="B1718" s="2" t="s">
        <v>470</v>
      </c>
      <c r="C1718" s="2" t="s">
        <v>484</v>
      </c>
      <c r="D1718" s="2" t="s">
        <v>134</v>
      </c>
      <c r="E1718" s="2" t="s">
        <v>2089</v>
      </c>
      <c r="F1718" s="3">
        <v>8.89</v>
      </c>
    </row>
    <row r="1719" spans="1:6" ht="15" customHeight="1" x14ac:dyDescent="0.25">
      <c r="A1719" s="2" t="s">
        <v>94</v>
      </c>
      <c r="B1719" s="2" t="s">
        <v>470</v>
      </c>
      <c r="C1719" s="2" t="s">
        <v>484</v>
      </c>
      <c r="D1719" s="2" t="s">
        <v>152</v>
      </c>
      <c r="E1719" s="2" t="s">
        <v>2090</v>
      </c>
      <c r="F1719" s="3">
        <v>7.11</v>
      </c>
    </row>
    <row r="1720" spans="1:6" ht="15" customHeight="1" x14ac:dyDescent="0.25">
      <c r="A1720" s="2" t="s">
        <v>94</v>
      </c>
      <c r="B1720" s="2" t="s">
        <v>470</v>
      </c>
      <c r="C1720" s="2" t="s">
        <v>486</v>
      </c>
      <c r="D1720" s="2" t="s">
        <v>152</v>
      </c>
      <c r="E1720" s="2" t="s">
        <v>1988</v>
      </c>
      <c r="F1720" s="3">
        <v>-1.06</v>
      </c>
    </row>
    <row r="1721" spans="1:6" ht="15" customHeight="1" x14ac:dyDescent="0.25">
      <c r="A1721" s="2" t="s">
        <v>94</v>
      </c>
      <c r="B1721" s="2" t="s">
        <v>470</v>
      </c>
      <c r="C1721" s="2" t="s">
        <v>486</v>
      </c>
      <c r="D1721" s="2" t="s">
        <v>145</v>
      </c>
      <c r="E1721" s="2" t="s">
        <v>2091</v>
      </c>
      <c r="F1721" s="3">
        <v>-1.33</v>
      </c>
    </row>
    <row r="1722" spans="1:6" ht="15" customHeight="1" x14ac:dyDescent="0.25">
      <c r="A1722" s="2" t="s">
        <v>94</v>
      </c>
      <c r="B1722" s="2" t="s">
        <v>470</v>
      </c>
      <c r="C1722" s="2" t="s">
        <v>484</v>
      </c>
      <c r="D1722" s="2" t="s">
        <v>145</v>
      </c>
      <c r="E1722" s="2" t="s">
        <v>2092</v>
      </c>
      <c r="F1722" s="3">
        <v>8.8699999999999992</v>
      </c>
    </row>
    <row r="1723" spans="1:6" ht="15" customHeight="1" x14ac:dyDescent="0.25">
      <c r="A1723" s="2" t="s">
        <v>94</v>
      </c>
      <c r="B1723" s="2" t="s">
        <v>470</v>
      </c>
      <c r="C1723" s="2" t="s">
        <v>486</v>
      </c>
      <c r="D1723" s="2" t="s">
        <v>194</v>
      </c>
      <c r="E1723" s="2" t="s">
        <v>2093</v>
      </c>
      <c r="F1723" s="3">
        <v>-0.8</v>
      </c>
    </row>
    <row r="1724" spans="1:6" ht="15" customHeight="1" x14ac:dyDescent="0.25">
      <c r="A1724" s="2" t="s">
        <v>94</v>
      </c>
      <c r="B1724" s="2" t="s">
        <v>470</v>
      </c>
      <c r="C1724" s="2" t="s">
        <v>484</v>
      </c>
      <c r="D1724" s="2" t="s">
        <v>194</v>
      </c>
      <c r="E1724" s="2" t="s">
        <v>2094</v>
      </c>
      <c r="F1724" s="3">
        <v>5.36</v>
      </c>
    </row>
    <row r="1725" spans="1:6" ht="15" customHeight="1" x14ac:dyDescent="0.25">
      <c r="A1725" s="2" t="s">
        <v>94</v>
      </c>
      <c r="B1725" s="2" t="s">
        <v>470</v>
      </c>
      <c r="C1725" s="2" t="s">
        <v>484</v>
      </c>
      <c r="D1725" s="2" t="s">
        <v>136</v>
      </c>
      <c r="E1725" s="2" t="s">
        <v>2095</v>
      </c>
      <c r="F1725" s="3">
        <v>5.62</v>
      </c>
    </row>
    <row r="1726" spans="1:6" ht="15" customHeight="1" x14ac:dyDescent="0.25">
      <c r="A1726" s="2" t="s">
        <v>94</v>
      </c>
      <c r="B1726" s="2" t="s">
        <v>470</v>
      </c>
      <c r="C1726" s="2" t="s">
        <v>486</v>
      </c>
      <c r="D1726" s="2" t="s">
        <v>136</v>
      </c>
      <c r="E1726" s="2" t="s">
        <v>1102</v>
      </c>
      <c r="F1726" s="3">
        <v>-0.84</v>
      </c>
    </row>
    <row r="1727" spans="1:6" ht="15" customHeight="1" x14ac:dyDescent="0.25">
      <c r="A1727" s="2" t="s">
        <v>94</v>
      </c>
      <c r="B1727" s="2" t="s">
        <v>471</v>
      </c>
      <c r="C1727" s="2" t="s">
        <v>486</v>
      </c>
      <c r="D1727" s="2" t="s">
        <v>170</v>
      </c>
      <c r="E1727" s="2" t="s">
        <v>2096</v>
      </c>
      <c r="F1727" s="3">
        <v>-0.61</v>
      </c>
    </row>
    <row r="1728" spans="1:6" ht="15" customHeight="1" x14ac:dyDescent="0.25">
      <c r="A1728" s="2" t="s">
        <v>94</v>
      </c>
      <c r="B1728" s="2" t="s">
        <v>471</v>
      </c>
      <c r="C1728" s="2" t="s">
        <v>484</v>
      </c>
      <c r="D1728" s="2" t="s">
        <v>170</v>
      </c>
      <c r="E1728" s="2" t="s">
        <v>2097</v>
      </c>
      <c r="F1728" s="3">
        <v>4.12</v>
      </c>
    </row>
    <row r="1729" spans="1:6" ht="15" customHeight="1" x14ac:dyDescent="0.25">
      <c r="A1729" s="2" t="s">
        <v>94</v>
      </c>
      <c r="B1729" s="2" t="s">
        <v>471</v>
      </c>
      <c r="C1729" s="2" t="s">
        <v>486</v>
      </c>
      <c r="D1729" s="2" t="s">
        <v>244</v>
      </c>
      <c r="E1729" s="2" t="s">
        <v>2098</v>
      </c>
      <c r="F1729" s="3">
        <v>-0.33</v>
      </c>
    </row>
    <row r="1730" spans="1:6" ht="15" customHeight="1" x14ac:dyDescent="0.25">
      <c r="A1730" s="2" t="s">
        <v>94</v>
      </c>
      <c r="B1730" s="2" t="s">
        <v>471</v>
      </c>
      <c r="C1730" s="2" t="s">
        <v>484</v>
      </c>
      <c r="D1730" s="2" t="s">
        <v>244</v>
      </c>
      <c r="E1730" s="2" t="s">
        <v>2099</v>
      </c>
      <c r="F1730" s="3">
        <v>2.2599999999999998</v>
      </c>
    </row>
    <row r="1731" spans="1:6" ht="15" customHeight="1" x14ac:dyDescent="0.25">
      <c r="A1731" s="2" t="s">
        <v>94</v>
      </c>
      <c r="B1731" s="2" t="s">
        <v>473</v>
      </c>
      <c r="C1731" s="2" t="s">
        <v>484</v>
      </c>
      <c r="D1731" s="2" t="s">
        <v>190</v>
      </c>
      <c r="E1731" s="2" t="s">
        <v>2100</v>
      </c>
      <c r="F1731" s="3">
        <v>5.7</v>
      </c>
    </row>
    <row r="1732" spans="1:6" ht="15" customHeight="1" x14ac:dyDescent="0.25">
      <c r="A1732" s="2" t="s">
        <v>94</v>
      </c>
      <c r="B1732" s="2" t="s">
        <v>473</v>
      </c>
      <c r="C1732" s="2" t="s">
        <v>486</v>
      </c>
      <c r="D1732" s="2" t="s">
        <v>190</v>
      </c>
      <c r="E1732" s="2" t="s">
        <v>1475</v>
      </c>
      <c r="F1732" s="3">
        <v>-0.85</v>
      </c>
    </row>
  </sheetData>
  <autoFilter ref="A1:F1732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13" customWidth="1"/>
    <col min="3" max="3" width="45" customWidth="1"/>
    <col min="4" max="4" width="13" customWidth="1"/>
  </cols>
  <sheetData>
    <row r="1" spans="1:4" ht="15" customHeight="1" x14ac:dyDescent="0.25">
      <c r="A1" s="1" t="s">
        <v>0</v>
      </c>
      <c r="B1" s="1" t="s">
        <v>287</v>
      </c>
      <c r="C1" s="1" t="s">
        <v>97</v>
      </c>
      <c r="D1" s="1" t="s">
        <v>474</v>
      </c>
    </row>
    <row r="2" spans="1:4" ht="15" customHeight="1" x14ac:dyDescent="0.25">
      <c r="A2" s="2" t="s">
        <v>66</v>
      </c>
      <c r="B2" s="2" t="s">
        <v>344</v>
      </c>
      <c r="C2" s="2" t="s">
        <v>2101</v>
      </c>
      <c r="D2" s="3">
        <v>-0.02</v>
      </c>
    </row>
    <row r="3" spans="1:4" ht="15" customHeight="1" x14ac:dyDescent="0.25">
      <c r="A3" s="2" t="s">
        <v>66</v>
      </c>
      <c r="B3" s="2" t="s">
        <v>344</v>
      </c>
      <c r="C3" s="2" t="s">
        <v>2102</v>
      </c>
      <c r="D3" s="3">
        <v>-0.01</v>
      </c>
    </row>
    <row r="4" spans="1:4" ht="15" customHeight="1" x14ac:dyDescent="0.25">
      <c r="A4" s="2" t="s">
        <v>70</v>
      </c>
      <c r="B4" s="2" t="s">
        <v>354</v>
      </c>
      <c r="C4" s="2" t="s">
        <v>2103</v>
      </c>
      <c r="D4" s="3">
        <v>-0.01</v>
      </c>
    </row>
    <row r="5" spans="1:4" ht="15" customHeight="1" x14ac:dyDescent="0.25">
      <c r="A5" s="2" t="s">
        <v>70</v>
      </c>
      <c r="B5" s="2" t="s">
        <v>354</v>
      </c>
      <c r="C5" s="2" t="s">
        <v>2104</v>
      </c>
      <c r="D5" s="3">
        <v>-0.01</v>
      </c>
    </row>
    <row r="6" spans="1:4" ht="15" customHeight="1" x14ac:dyDescent="0.25">
      <c r="A6" s="2" t="s">
        <v>70</v>
      </c>
      <c r="B6" s="2" t="s">
        <v>357</v>
      </c>
      <c r="C6" s="2" t="s">
        <v>2105</v>
      </c>
      <c r="D6" s="3">
        <v>-0.03</v>
      </c>
    </row>
    <row r="7" spans="1:4" ht="15" customHeight="1" x14ac:dyDescent="0.25">
      <c r="A7" s="2" t="s">
        <v>70</v>
      </c>
      <c r="B7" s="2" t="s">
        <v>357</v>
      </c>
      <c r="C7" s="2" t="s">
        <v>2106</v>
      </c>
      <c r="D7" s="3">
        <v>-0.01</v>
      </c>
    </row>
    <row r="8" spans="1:4" ht="15" customHeight="1" x14ac:dyDescent="0.25">
      <c r="A8" s="2" t="s">
        <v>72</v>
      </c>
      <c r="B8" s="2" t="s">
        <v>362</v>
      </c>
      <c r="C8" s="2" t="s">
        <v>2107</v>
      </c>
      <c r="D8" s="3">
        <v>-0.01</v>
      </c>
    </row>
    <row r="9" spans="1:4" ht="15" customHeight="1" x14ac:dyDescent="0.25">
      <c r="A9" s="2" t="s">
        <v>74</v>
      </c>
      <c r="B9" s="2" t="s">
        <v>366</v>
      </c>
      <c r="C9" s="2" t="s">
        <v>2108</v>
      </c>
      <c r="D9" s="3">
        <v>-0.01</v>
      </c>
    </row>
    <row r="10" spans="1:4" ht="15" customHeight="1" x14ac:dyDescent="0.25">
      <c r="A10" s="2" t="s">
        <v>74</v>
      </c>
      <c r="B10" s="2" t="s">
        <v>367</v>
      </c>
      <c r="C10" s="2" t="s">
        <v>2109</v>
      </c>
      <c r="D10" s="3">
        <v>-0.01</v>
      </c>
    </row>
    <row r="11" spans="1:4" ht="15" customHeight="1" x14ac:dyDescent="0.25">
      <c r="A11" s="2" t="s">
        <v>74</v>
      </c>
      <c r="B11" s="2" t="s">
        <v>368</v>
      </c>
      <c r="C11" s="2" t="s">
        <v>2110</v>
      </c>
      <c r="D11" s="3">
        <v>-0.01</v>
      </c>
    </row>
    <row r="12" spans="1:4" ht="15" customHeight="1" x14ac:dyDescent="0.25">
      <c r="A12" s="2" t="s">
        <v>74</v>
      </c>
      <c r="B12" s="2" t="s">
        <v>369</v>
      </c>
      <c r="C12" s="2" t="s">
        <v>2111</v>
      </c>
      <c r="D12" s="3">
        <v>-0.01</v>
      </c>
    </row>
    <row r="13" spans="1:4" ht="15" customHeight="1" x14ac:dyDescent="0.25">
      <c r="A13" s="2" t="s">
        <v>74</v>
      </c>
      <c r="B13" s="2" t="s">
        <v>369</v>
      </c>
      <c r="C13" s="2" t="s">
        <v>2112</v>
      </c>
      <c r="D13" s="3">
        <v>-0.01</v>
      </c>
    </row>
    <row r="14" spans="1:4" ht="15" customHeight="1" x14ac:dyDescent="0.25">
      <c r="A14" s="2" t="s">
        <v>74</v>
      </c>
      <c r="B14" s="2" t="s">
        <v>370</v>
      </c>
      <c r="C14" s="2" t="s">
        <v>2113</v>
      </c>
      <c r="D14" s="3">
        <v>-0.01</v>
      </c>
    </row>
    <row r="15" spans="1:4" ht="15" customHeight="1" x14ac:dyDescent="0.25">
      <c r="A15" s="2" t="s">
        <v>74</v>
      </c>
      <c r="B15" s="2" t="s">
        <v>370</v>
      </c>
      <c r="C15" s="2" t="s">
        <v>2114</v>
      </c>
      <c r="D15" s="3">
        <v>-0.01</v>
      </c>
    </row>
    <row r="16" spans="1:4" ht="15" customHeight="1" x14ac:dyDescent="0.25">
      <c r="A16" s="2" t="s">
        <v>74</v>
      </c>
      <c r="B16" s="2" t="s">
        <v>371</v>
      </c>
      <c r="C16" s="2" t="s">
        <v>2115</v>
      </c>
      <c r="D16" s="3">
        <v>-0.01</v>
      </c>
    </row>
    <row r="17" spans="1:4" ht="15" customHeight="1" x14ac:dyDescent="0.25">
      <c r="A17" s="2" t="s">
        <v>74</v>
      </c>
      <c r="B17" s="2" t="s">
        <v>372</v>
      </c>
      <c r="C17" s="2" t="s">
        <v>2116</v>
      </c>
      <c r="D17" s="3">
        <v>-0.01</v>
      </c>
    </row>
    <row r="18" spans="1:4" ht="15" customHeight="1" x14ac:dyDescent="0.25">
      <c r="A18" s="2" t="s">
        <v>74</v>
      </c>
      <c r="B18" s="2" t="s">
        <v>373</v>
      </c>
      <c r="C18" s="2" t="s">
        <v>2117</v>
      </c>
      <c r="D18" s="3">
        <v>-0.01</v>
      </c>
    </row>
    <row r="19" spans="1:4" ht="15" customHeight="1" x14ac:dyDescent="0.25">
      <c r="A19" s="2" t="s">
        <v>74</v>
      </c>
      <c r="B19" s="2" t="s">
        <v>374</v>
      </c>
      <c r="C19" s="2" t="s">
        <v>2118</v>
      </c>
      <c r="D19" s="3">
        <v>-0.01</v>
      </c>
    </row>
    <row r="20" spans="1:4" ht="15" customHeight="1" x14ac:dyDescent="0.25">
      <c r="A20" s="2" t="s">
        <v>74</v>
      </c>
      <c r="B20" s="2" t="s">
        <v>376</v>
      </c>
      <c r="C20" s="2" t="s">
        <v>2119</v>
      </c>
      <c r="D20" s="3">
        <v>-0.01</v>
      </c>
    </row>
    <row r="21" spans="1:4" ht="15" customHeight="1" x14ac:dyDescent="0.25">
      <c r="A21" s="2" t="s">
        <v>74</v>
      </c>
      <c r="B21" s="2" t="s">
        <v>376</v>
      </c>
      <c r="C21" s="2" t="s">
        <v>2120</v>
      </c>
      <c r="D21" s="3">
        <v>-0.01</v>
      </c>
    </row>
    <row r="22" spans="1:4" ht="15" customHeight="1" x14ac:dyDescent="0.25">
      <c r="A22" s="2" t="s">
        <v>76</v>
      </c>
      <c r="B22" s="2" t="s">
        <v>380</v>
      </c>
      <c r="C22" s="2" t="s">
        <v>2121</v>
      </c>
      <c r="D22" s="3">
        <v>-0.01</v>
      </c>
    </row>
    <row r="23" spans="1:4" ht="15" customHeight="1" x14ac:dyDescent="0.25">
      <c r="A23" s="2" t="s">
        <v>76</v>
      </c>
      <c r="B23" s="2" t="s">
        <v>381</v>
      </c>
      <c r="C23" s="2" t="s">
        <v>2122</v>
      </c>
      <c r="D23" s="3">
        <v>-0.01</v>
      </c>
    </row>
    <row r="24" spans="1:4" ht="15" customHeight="1" x14ac:dyDescent="0.25">
      <c r="A24" s="2" t="s">
        <v>76</v>
      </c>
      <c r="B24" s="2" t="s">
        <v>382</v>
      </c>
      <c r="C24" s="2" t="s">
        <v>2123</v>
      </c>
      <c r="D24" s="3">
        <v>-0.01</v>
      </c>
    </row>
    <row r="25" spans="1:4" ht="15" customHeight="1" x14ac:dyDescent="0.25">
      <c r="A25" s="2" t="s">
        <v>76</v>
      </c>
      <c r="B25" s="2" t="s">
        <v>384</v>
      </c>
      <c r="C25" s="2" t="s">
        <v>2124</v>
      </c>
      <c r="D25" s="3">
        <v>-0.01</v>
      </c>
    </row>
    <row r="26" spans="1:4" ht="15" customHeight="1" x14ac:dyDescent="0.25">
      <c r="A26" s="2" t="s">
        <v>76</v>
      </c>
      <c r="B26" s="2" t="s">
        <v>386</v>
      </c>
      <c r="C26" s="2" t="s">
        <v>2125</v>
      </c>
      <c r="D26" s="3">
        <v>-0.01</v>
      </c>
    </row>
    <row r="27" spans="1:4" ht="15" customHeight="1" x14ac:dyDescent="0.25">
      <c r="A27" s="2" t="s">
        <v>76</v>
      </c>
      <c r="B27" s="2" t="s">
        <v>388</v>
      </c>
      <c r="C27" s="2" t="s">
        <v>2126</v>
      </c>
      <c r="D27" s="3">
        <v>-0.01</v>
      </c>
    </row>
    <row r="28" spans="1:4" ht="15" customHeight="1" x14ac:dyDescent="0.25">
      <c r="A28" s="2" t="s">
        <v>76</v>
      </c>
      <c r="B28" s="2" t="s">
        <v>389</v>
      </c>
      <c r="C28" s="2" t="s">
        <v>2127</v>
      </c>
      <c r="D28" s="3">
        <v>-0.01</v>
      </c>
    </row>
    <row r="29" spans="1:4" ht="15" customHeight="1" x14ac:dyDescent="0.25">
      <c r="A29" s="2" t="s">
        <v>76</v>
      </c>
      <c r="B29" s="2" t="s">
        <v>390</v>
      </c>
      <c r="C29" s="2" t="s">
        <v>2128</v>
      </c>
      <c r="D29" s="3">
        <v>-0.01</v>
      </c>
    </row>
    <row r="30" spans="1:4" ht="15" customHeight="1" x14ac:dyDescent="0.25">
      <c r="A30" s="2" t="s">
        <v>76</v>
      </c>
      <c r="B30" s="2" t="s">
        <v>391</v>
      </c>
      <c r="C30" s="2" t="s">
        <v>2129</v>
      </c>
      <c r="D30" s="3">
        <v>-0.01</v>
      </c>
    </row>
    <row r="31" spans="1:4" ht="15" customHeight="1" x14ac:dyDescent="0.25">
      <c r="A31" s="2" t="s">
        <v>76</v>
      </c>
      <c r="B31" s="2" t="s">
        <v>392</v>
      </c>
      <c r="C31" s="2" t="s">
        <v>2130</v>
      </c>
      <c r="D31" s="3">
        <v>-0.01</v>
      </c>
    </row>
    <row r="32" spans="1:4" ht="15" customHeight="1" x14ac:dyDescent="0.25">
      <c r="A32" s="2" t="s">
        <v>76</v>
      </c>
      <c r="B32" s="2" t="s">
        <v>394</v>
      </c>
      <c r="C32" s="2" t="s">
        <v>2131</v>
      </c>
      <c r="D32" s="3">
        <v>-0.01</v>
      </c>
    </row>
    <row r="33" spans="1:4" ht="15" customHeight="1" x14ac:dyDescent="0.25">
      <c r="A33" s="2" t="s">
        <v>76</v>
      </c>
      <c r="B33" s="2" t="s">
        <v>395</v>
      </c>
      <c r="C33" s="2" t="s">
        <v>2132</v>
      </c>
      <c r="D33" s="3">
        <v>-0.01</v>
      </c>
    </row>
    <row r="34" spans="1:4" ht="15" customHeight="1" x14ac:dyDescent="0.25">
      <c r="A34" s="2" t="s">
        <v>76</v>
      </c>
      <c r="B34" s="2" t="s">
        <v>396</v>
      </c>
      <c r="C34" s="2" t="s">
        <v>2133</v>
      </c>
      <c r="D34" s="3">
        <v>-0.01</v>
      </c>
    </row>
    <row r="35" spans="1:4" ht="15" customHeight="1" x14ac:dyDescent="0.25">
      <c r="A35" s="2" t="s">
        <v>78</v>
      </c>
      <c r="B35" s="2" t="s">
        <v>397</v>
      </c>
      <c r="C35" s="2" t="s">
        <v>2134</v>
      </c>
      <c r="D35" s="3">
        <v>-0.01</v>
      </c>
    </row>
    <row r="36" spans="1:4" ht="15" customHeight="1" x14ac:dyDescent="0.25">
      <c r="A36" s="2" t="s">
        <v>78</v>
      </c>
      <c r="B36" s="2" t="s">
        <v>398</v>
      </c>
      <c r="C36" s="2" t="s">
        <v>2135</v>
      </c>
      <c r="D36" s="3">
        <v>-0.01</v>
      </c>
    </row>
    <row r="37" spans="1:4" ht="15" customHeight="1" x14ac:dyDescent="0.25">
      <c r="A37" s="2" t="s">
        <v>78</v>
      </c>
      <c r="B37" s="2" t="s">
        <v>399</v>
      </c>
      <c r="C37" s="2" t="s">
        <v>2136</v>
      </c>
      <c r="D37" s="3">
        <v>-0.01</v>
      </c>
    </row>
    <row r="38" spans="1:4" ht="15" customHeight="1" x14ac:dyDescent="0.25">
      <c r="A38" s="2" t="s">
        <v>78</v>
      </c>
      <c r="B38" s="2" t="s">
        <v>400</v>
      </c>
      <c r="C38" s="2" t="s">
        <v>2137</v>
      </c>
      <c r="D38" s="3">
        <v>-0.01</v>
      </c>
    </row>
    <row r="39" spans="1:4" ht="15" customHeight="1" x14ac:dyDescent="0.25">
      <c r="A39" s="2" t="s">
        <v>78</v>
      </c>
      <c r="B39" s="2" t="s">
        <v>401</v>
      </c>
      <c r="C39" s="2" t="s">
        <v>2138</v>
      </c>
      <c r="D39" s="3">
        <v>-0.01</v>
      </c>
    </row>
    <row r="40" spans="1:4" ht="15" customHeight="1" x14ac:dyDescent="0.25">
      <c r="A40" s="2" t="s">
        <v>78</v>
      </c>
      <c r="B40" s="2" t="s">
        <v>402</v>
      </c>
      <c r="C40" s="2" t="s">
        <v>2139</v>
      </c>
      <c r="D40" s="3">
        <v>-0.01</v>
      </c>
    </row>
    <row r="41" spans="1:4" ht="15" customHeight="1" x14ac:dyDescent="0.25">
      <c r="A41" s="2" t="s">
        <v>78</v>
      </c>
      <c r="B41" s="2" t="s">
        <v>403</v>
      </c>
      <c r="C41" s="2" t="s">
        <v>2140</v>
      </c>
      <c r="D41" s="3">
        <v>-0.01</v>
      </c>
    </row>
    <row r="42" spans="1:4" ht="15" customHeight="1" x14ac:dyDescent="0.25">
      <c r="A42" s="2" t="s">
        <v>78</v>
      </c>
      <c r="B42" s="2" t="s">
        <v>404</v>
      </c>
      <c r="C42" s="2" t="s">
        <v>2141</v>
      </c>
      <c r="D42" s="3">
        <v>-0.01</v>
      </c>
    </row>
    <row r="43" spans="1:4" ht="15" customHeight="1" x14ac:dyDescent="0.25">
      <c r="A43" s="2" t="s">
        <v>78</v>
      </c>
      <c r="B43" s="2" t="s">
        <v>405</v>
      </c>
      <c r="C43" s="2" t="s">
        <v>2142</v>
      </c>
      <c r="D43" s="3">
        <v>-0.01</v>
      </c>
    </row>
    <row r="44" spans="1:4" ht="15" customHeight="1" x14ac:dyDescent="0.25">
      <c r="A44" s="2" t="s">
        <v>78</v>
      </c>
      <c r="B44" s="2" t="s">
        <v>409</v>
      </c>
      <c r="C44" s="2" t="s">
        <v>2143</v>
      </c>
      <c r="D44" s="3">
        <v>-0.01</v>
      </c>
    </row>
    <row r="45" spans="1:4" ht="15" customHeight="1" x14ac:dyDescent="0.25">
      <c r="A45" s="2" t="s">
        <v>80</v>
      </c>
      <c r="B45" s="2" t="s">
        <v>409</v>
      </c>
      <c r="C45" s="2" t="s">
        <v>2144</v>
      </c>
      <c r="D45" s="3">
        <v>-0.03</v>
      </c>
    </row>
    <row r="46" spans="1:4" ht="15" customHeight="1" x14ac:dyDescent="0.25">
      <c r="A46" s="2" t="s">
        <v>82</v>
      </c>
      <c r="B46" s="2" t="s">
        <v>414</v>
      </c>
      <c r="C46" s="2" t="s">
        <v>2145</v>
      </c>
      <c r="D46" s="3">
        <v>-0.01</v>
      </c>
    </row>
    <row r="47" spans="1:4" ht="15" customHeight="1" x14ac:dyDescent="0.25">
      <c r="A47" s="2" t="s">
        <v>82</v>
      </c>
      <c r="B47" s="2" t="s">
        <v>419</v>
      </c>
      <c r="C47" s="2" t="s">
        <v>2146</v>
      </c>
      <c r="D47" s="3">
        <v>-0.01</v>
      </c>
    </row>
    <row r="48" spans="1:4" ht="15" customHeight="1" x14ac:dyDescent="0.25">
      <c r="A48" s="2" t="s">
        <v>88</v>
      </c>
      <c r="B48" s="2" t="s">
        <v>445</v>
      </c>
      <c r="C48" s="2" t="s">
        <v>2147</v>
      </c>
      <c r="D48" s="3">
        <v>-0.02</v>
      </c>
    </row>
    <row r="49" spans="1:4" ht="15" customHeight="1" x14ac:dyDescent="0.25">
      <c r="A49" s="2" t="s">
        <v>88</v>
      </c>
      <c r="B49" s="2" t="s">
        <v>445</v>
      </c>
      <c r="C49" s="2" t="s">
        <v>2148</v>
      </c>
      <c r="D49" s="3">
        <v>-0.02</v>
      </c>
    </row>
    <row r="50" spans="1:4" ht="15" customHeight="1" x14ac:dyDescent="0.25">
      <c r="A50" s="2" t="s">
        <v>88</v>
      </c>
      <c r="B50" s="2" t="s">
        <v>447</v>
      </c>
      <c r="C50" s="2" t="s">
        <v>2149</v>
      </c>
      <c r="D50" s="3">
        <v>-0.01</v>
      </c>
    </row>
    <row r="51" spans="1:4" ht="15" customHeight="1" x14ac:dyDescent="0.25">
      <c r="A51" s="2" t="s">
        <v>88</v>
      </c>
      <c r="B51" s="2" t="s">
        <v>449</v>
      </c>
      <c r="C51" s="2" t="s">
        <v>2147</v>
      </c>
      <c r="D51" s="3">
        <v>-0.02</v>
      </c>
    </row>
    <row r="52" spans="1:4" ht="15" customHeight="1" x14ac:dyDescent="0.25">
      <c r="A52" s="2" t="s">
        <v>88</v>
      </c>
      <c r="B52" s="2" t="s">
        <v>449</v>
      </c>
      <c r="C52" s="2" t="s">
        <v>2150</v>
      </c>
      <c r="D52" s="3">
        <v>-0.01</v>
      </c>
    </row>
    <row r="53" spans="1:4" ht="15" customHeight="1" x14ac:dyDescent="0.25">
      <c r="A53" s="2" t="s">
        <v>88</v>
      </c>
      <c r="B53" s="2" t="s">
        <v>449</v>
      </c>
      <c r="C53" s="2" t="s">
        <v>2151</v>
      </c>
      <c r="D53" s="3">
        <v>-0.02</v>
      </c>
    </row>
    <row r="54" spans="1:4" ht="15" customHeight="1" x14ac:dyDescent="0.25">
      <c r="A54" s="2" t="s">
        <v>90</v>
      </c>
      <c r="B54" s="2" t="s">
        <v>450</v>
      </c>
      <c r="C54" s="2" t="s">
        <v>2147</v>
      </c>
      <c r="D54" s="3">
        <v>-0.02</v>
      </c>
    </row>
    <row r="55" spans="1:4" ht="15" customHeight="1" x14ac:dyDescent="0.25">
      <c r="A55" s="2" t="s">
        <v>90</v>
      </c>
      <c r="B55" s="2" t="s">
        <v>450</v>
      </c>
      <c r="C55" s="2" t="s">
        <v>2152</v>
      </c>
      <c r="D55" s="3">
        <v>-0.03</v>
      </c>
    </row>
    <row r="56" spans="1:4" ht="15" customHeight="1" x14ac:dyDescent="0.25">
      <c r="A56" s="2" t="s">
        <v>92</v>
      </c>
      <c r="B56" s="2" t="s">
        <v>455</v>
      </c>
      <c r="C56" s="2" t="s">
        <v>2153</v>
      </c>
      <c r="D56" s="3">
        <v>-0.01</v>
      </c>
    </row>
    <row r="57" spans="1:4" ht="15" customHeight="1" x14ac:dyDescent="0.25">
      <c r="A57" s="2" t="s">
        <v>92</v>
      </c>
      <c r="B57" s="2" t="s">
        <v>456</v>
      </c>
      <c r="C57" s="2" t="s">
        <v>2154</v>
      </c>
      <c r="D57" s="3">
        <v>-0.03</v>
      </c>
    </row>
    <row r="58" spans="1:4" ht="15" customHeight="1" x14ac:dyDescent="0.25">
      <c r="A58" s="2" t="s">
        <v>92</v>
      </c>
      <c r="B58" s="2" t="s">
        <v>456</v>
      </c>
      <c r="C58" s="2" t="s">
        <v>2155</v>
      </c>
      <c r="D58" s="3">
        <v>-0.01</v>
      </c>
    </row>
    <row r="59" spans="1:4" ht="15" customHeight="1" x14ac:dyDescent="0.25">
      <c r="A59" s="2" t="s">
        <v>92</v>
      </c>
      <c r="B59" s="2" t="s">
        <v>460</v>
      </c>
      <c r="C59" s="2" t="s">
        <v>2147</v>
      </c>
      <c r="D59" s="3">
        <v>-0.03</v>
      </c>
    </row>
    <row r="60" spans="1:4" ht="15" customHeight="1" x14ac:dyDescent="0.25">
      <c r="A60" s="2" t="s">
        <v>92</v>
      </c>
      <c r="B60" s="2" t="s">
        <v>460</v>
      </c>
      <c r="C60" s="2" t="s">
        <v>2156</v>
      </c>
      <c r="D60" s="3">
        <v>-0.01</v>
      </c>
    </row>
    <row r="61" spans="1:4" ht="15" customHeight="1" x14ac:dyDescent="0.25">
      <c r="A61" s="2" t="s">
        <v>92</v>
      </c>
      <c r="B61" s="2" t="s">
        <v>460</v>
      </c>
      <c r="C61" s="2" t="s">
        <v>2157</v>
      </c>
      <c r="D61" s="3">
        <v>-0.03</v>
      </c>
    </row>
    <row r="62" spans="1:4" ht="15" customHeight="1" x14ac:dyDescent="0.25">
      <c r="A62" s="2" t="s">
        <v>94</v>
      </c>
      <c r="B62" s="2" t="s">
        <v>467</v>
      </c>
      <c r="C62" s="2" t="s">
        <v>2147</v>
      </c>
      <c r="D62" s="3">
        <v>-0.03</v>
      </c>
    </row>
    <row r="63" spans="1:4" ht="15" customHeight="1" x14ac:dyDescent="0.25">
      <c r="A63" s="2" t="s">
        <v>94</v>
      </c>
      <c r="B63" s="2" t="s">
        <v>467</v>
      </c>
      <c r="C63" s="2" t="s">
        <v>2158</v>
      </c>
      <c r="D63" s="3">
        <v>-0.01</v>
      </c>
    </row>
    <row r="64" spans="1:4" ht="15" customHeight="1" x14ac:dyDescent="0.25">
      <c r="A64" s="2" t="s">
        <v>94</v>
      </c>
      <c r="B64" s="2" t="s">
        <v>467</v>
      </c>
      <c r="C64" s="2" t="s">
        <v>2159</v>
      </c>
      <c r="D64" s="3">
        <v>-0.01</v>
      </c>
    </row>
    <row r="65" spans="1:4" ht="15" customHeight="1" x14ac:dyDescent="0.25">
      <c r="A65" s="2" t="s">
        <v>94</v>
      </c>
      <c r="B65" s="2" t="s">
        <v>467</v>
      </c>
      <c r="C65" s="2" t="s">
        <v>2160</v>
      </c>
      <c r="D65" s="3">
        <v>-0.03</v>
      </c>
    </row>
    <row r="66" spans="1:4" ht="15" customHeight="1" x14ac:dyDescent="0.25">
      <c r="A66" s="2" t="s">
        <v>94</v>
      </c>
      <c r="B66" s="2" t="s">
        <v>467</v>
      </c>
      <c r="C66" s="2" t="s">
        <v>2161</v>
      </c>
      <c r="D66" s="3">
        <v>-0.01</v>
      </c>
    </row>
    <row r="67" spans="1:4" ht="15" customHeight="1" x14ac:dyDescent="0.25">
      <c r="A67" s="2" t="s">
        <v>94</v>
      </c>
      <c r="B67" s="2" t="s">
        <v>467</v>
      </c>
      <c r="C67" s="2" t="s">
        <v>2162</v>
      </c>
      <c r="D67" s="3">
        <v>-0.01</v>
      </c>
    </row>
    <row r="68" spans="1:4" ht="15" customHeight="1" x14ac:dyDescent="0.25">
      <c r="A68" s="2" t="s">
        <v>94</v>
      </c>
      <c r="B68" s="2" t="s">
        <v>468</v>
      </c>
      <c r="C68" s="2" t="s">
        <v>2163</v>
      </c>
      <c r="D68" s="3">
        <v>-0.02</v>
      </c>
    </row>
    <row r="69" spans="1:4" ht="15" customHeight="1" x14ac:dyDescent="0.25">
      <c r="A69" s="2" t="s">
        <v>94</v>
      </c>
      <c r="B69" s="2" t="s">
        <v>468</v>
      </c>
      <c r="C69" s="2" t="s">
        <v>2164</v>
      </c>
      <c r="D69" s="3">
        <v>-0.01</v>
      </c>
    </row>
    <row r="70" spans="1:4" ht="15" customHeight="1" x14ac:dyDescent="0.25">
      <c r="A70" s="2" t="s">
        <v>94</v>
      </c>
      <c r="B70" s="2" t="s">
        <v>469</v>
      </c>
      <c r="C70" s="2" t="s">
        <v>2165</v>
      </c>
      <c r="D70" s="3">
        <v>-0.01</v>
      </c>
    </row>
    <row r="71" spans="1:4" ht="15" customHeight="1" x14ac:dyDescent="0.25">
      <c r="A71" s="2" t="s">
        <v>94</v>
      </c>
      <c r="B71" s="2" t="s">
        <v>469</v>
      </c>
      <c r="C71" s="2" t="s">
        <v>2166</v>
      </c>
      <c r="D71" s="3">
        <v>-0.01</v>
      </c>
    </row>
    <row r="72" spans="1:4" ht="15" customHeight="1" x14ac:dyDescent="0.25">
      <c r="A72" s="2" t="s">
        <v>94</v>
      </c>
      <c r="B72" s="2" t="s">
        <v>470</v>
      </c>
      <c r="C72" s="2" t="s">
        <v>2167</v>
      </c>
      <c r="D72" s="3">
        <v>-0.01</v>
      </c>
    </row>
    <row r="73" spans="1:4" ht="15" customHeight="1" x14ac:dyDescent="0.25">
      <c r="A73" s="2" t="s">
        <v>94</v>
      </c>
      <c r="B73" s="2" t="s">
        <v>470</v>
      </c>
      <c r="C73" s="2" t="s">
        <v>2168</v>
      </c>
      <c r="D73" s="3">
        <v>-0.01</v>
      </c>
    </row>
    <row r="74" spans="1:4" ht="15" customHeight="1" x14ac:dyDescent="0.25">
      <c r="A74" s="2" t="s">
        <v>94</v>
      </c>
      <c r="B74" s="2" t="s">
        <v>472</v>
      </c>
      <c r="C74" s="2" t="s">
        <v>2169</v>
      </c>
      <c r="D74" s="3">
        <v>-0.01</v>
      </c>
    </row>
    <row r="75" spans="1:4" ht="15" customHeight="1" x14ac:dyDescent="0.25">
      <c r="A75" s="2" t="s">
        <v>94</v>
      </c>
      <c r="B75" s="2" t="s">
        <v>472</v>
      </c>
      <c r="C75" s="2" t="s">
        <v>2170</v>
      </c>
      <c r="D75" s="3">
        <v>-0.01</v>
      </c>
    </row>
  </sheetData>
  <autoFilter ref="A1:D75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2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3" width="13" customWidth="1"/>
    <col min="4" max="4" width="45" customWidth="1"/>
    <col min="5" max="6" width="13" customWidth="1"/>
  </cols>
  <sheetData>
    <row r="1" spans="1:6" ht="15" customHeight="1" x14ac:dyDescent="0.25">
      <c r="A1" s="1" t="s">
        <v>0</v>
      </c>
      <c r="B1" s="1" t="s">
        <v>287</v>
      </c>
      <c r="C1" s="1" t="s">
        <v>288</v>
      </c>
      <c r="D1" s="1" t="s">
        <v>97</v>
      </c>
      <c r="E1" s="1" t="s">
        <v>474</v>
      </c>
      <c r="F1" s="1" t="s">
        <v>2</v>
      </c>
    </row>
    <row r="2" spans="1:6" ht="15" customHeight="1" x14ac:dyDescent="0.25">
      <c r="A2" s="2" t="s">
        <v>60</v>
      </c>
      <c r="B2" s="2" t="s">
        <v>323</v>
      </c>
      <c r="C2" s="2" t="s">
        <v>475</v>
      </c>
      <c r="D2" s="2" t="s">
        <v>2171</v>
      </c>
      <c r="E2" s="3">
        <v>881.05</v>
      </c>
      <c r="F2" s="2" t="s">
        <v>17</v>
      </c>
    </row>
    <row r="3" spans="1:6" ht="15" customHeight="1" x14ac:dyDescent="0.25">
      <c r="A3" s="2" t="s">
        <v>60</v>
      </c>
      <c r="B3" s="2" t="s">
        <v>323</v>
      </c>
      <c r="C3" s="2" t="s">
        <v>475</v>
      </c>
      <c r="D3" s="2" t="s">
        <v>2172</v>
      </c>
      <c r="E3" s="3">
        <v>587.37</v>
      </c>
      <c r="F3" s="2" t="s">
        <v>17</v>
      </c>
    </row>
    <row r="4" spans="1:6" ht="15" customHeight="1" x14ac:dyDescent="0.25">
      <c r="A4" s="2" t="s">
        <v>60</v>
      </c>
      <c r="B4" s="2" t="s">
        <v>324</v>
      </c>
      <c r="C4" s="2" t="s">
        <v>475</v>
      </c>
      <c r="D4" s="2" t="s">
        <v>2173</v>
      </c>
      <c r="E4" s="3">
        <v>287.52</v>
      </c>
      <c r="F4" s="2" t="s">
        <v>17</v>
      </c>
    </row>
    <row r="5" spans="1:6" ht="15" customHeight="1" x14ac:dyDescent="0.25">
      <c r="A5" s="2" t="s">
        <v>60</v>
      </c>
      <c r="B5" s="2" t="s">
        <v>325</v>
      </c>
      <c r="C5" s="2" t="s">
        <v>475</v>
      </c>
      <c r="D5" s="2" t="s">
        <v>2174</v>
      </c>
      <c r="E5" s="3">
        <v>1445.92</v>
      </c>
      <c r="F5" s="2" t="s">
        <v>17</v>
      </c>
    </row>
    <row r="6" spans="1:6" ht="15" customHeight="1" x14ac:dyDescent="0.25">
      <c r="A6" s="2" t="s">
        <v>62</v>
      </c>
      <c r="B6" s="2" t="s">
        <v>329</v>
      </c>
      <c r="C6" s="2" t="s">
        <v>475</v>
      </c>
      <c r="D6" s="2" t="s">
        <v>2175</v>
      </c>
      <c r="E6" s="3">
        <v>193.76</v>
      </c>
      <c r="F6" s="2" t="s">
        <v>17</v>
      </c>
    </row>
    <row r="7" spans="1:6" ht="15" customHeight="1" x14ac:dyDescent="0.25">
      <c r="A7" s="2" t="s">
        <v>62</v>
      </c>
      <c r="B7" s="2" t="s">
        <v>329</v>
      </c>
      <c r="C7" s="2" t="s">
        <v>475</v>
      </c>
      <c r="D7" s="2" t="s">
        <v>2176</v>
      </c>
      <c r="E7" s="3">
        <v>184</v>
      </c>
      <c r="F7" s="2" t="s">
        <v>17</v>
      </c>
    </row>
    <row r="8" spans="1:6" ht="15" customHeight="1" x14ac:dyDescent="0.25">
      <c r="A8" s="2" t="s">
        <v>62</v>
      </c>
      <c r="B8" s="2" t="s">
        <v>330</v>
      </c>
      <c r="C8" s="2" t="s">
        <v>475</v>
      </c>
      <c r="D8" s="2" t="s">
        <v>2177</v>
      </c>
      <c r="E8" s="3">
        <v>184</v>
      </c>
      <c r="F8" s="2" t="s">
        <v>17</v>
      </c>
    </row>
    <row r="9" spans="1:6" ht="15" customHeight="1" x14ac:dyDescent="0.25">
      <c r="A9" s="2" t="s">
        <v>62</v>
      </c>
      <c r="B9" s="2" t="s">
        <v>330</v>
      </c>
      <c r="C9" s="2" t="s">
        <v>475</v>
      </c>
      <c r="D9" s="2" t="s">
        <v>2178</v>
      </c>
      <c r="E9" s="3">
        <v>184</v>
      </c>
      <c r="F9" s="2" t="s">
        <v>17</v>
      </c>
    </row>
    <row r="10" spans="1:6" ht="15" customHeight="1" x14ac:dyDescent="0.25">
      <c r="A10" s="2" t="s">
        <v>62</v>
      </c>
      <c r="B10" s="2" t="s">
        <v>331</v>
      </c>
      <c r="C10" s="2" t="s">
        <v>475</v>
      </c>
      <c r="D10" s="2" t="s">
        <v>2179</v>
      </c>
      <c r="E10" s="3">
        <v>183</v>
      </c>
      <c r="F10" s="2" t="s">
        <v>17</v>
      </c>
    </row>
    <row r="11" spans="1:6" ht="15" customHeight="1" x14ac:dyDescent="0.25">
      <c r="A11" s="2" t="s">
        <v>62</v>
      </c>
      <c r="B11" s="2" t="s">
        <v>331</v>
      </c>
      <c r="C11" s="2" t="s">
        <v>475</v>
      </c>
      <c r="D11" s="2" t="s">
        <v>2180</v>
      </c>
      <c r="E11" s="3">
        <v>367</v>
      </c>
      <c r="F11" s="2" t="s">
        <v>17</v>
      </c>
    </row>
    <row r="12" spans="1:6" ht="15" customHeight="1" x14ac:dyDescent="0.25">
      <c r="A12" s="2" t="s">
        <v>62</v>
      </c>
      <c r="B12" s="2" t="s">
        <v>331</v>
      </c>
      <c r="C12" s="2" t="s">
        <v>475</v>
      </c>
      <c r="D12" s="2" t="s">
        <v>2181</v>
      </c>
      <c r="E12" s="3">
        <v>183</v>
      </c>
      <c r="F12" s="2" t="s">
        <v>17</v>
      </c>
    </row>
    <row r="13" spans="1:6" ht="15" customHeight="1" x14ac:dyDescent="0.25">
      <c r="A13" s="2" t="s">
        <v>62</v>
      </c>
      <c r="B13" s="2" t="s">
        <v>331</v>
      </c>
      <c r="C13" s="2" t="s">
        <v>475</v>
      </c>
      <c r="D13" s="2" t="s">
        <v>2182</v>
      </c>
      <c r="E13" s="3">
        <v>173.64</v>
      </c>
      <c r="F13" s="2" t="s">
        <v>17</v>
      </c>
    </row>
    <row r="14" spans="1:6" ht="15" customHeight="1" x14ac:dyDescent="0.25">
      <c r="A14" s="2" t="s">
        <v>62</v>
      </c>
      <c r="B14" s="2" t="s">
        <v>331</v>
      </c>
      <c r="C14" s="2" t="s">
        <v>475</v>
      </c>
      <c r="D14" s="2" t="s">
        <v>2183</v>
      </c>
      <c r="E14" s="3">
        <v>205.9</v>
      </c>
      <c r="F14" s="2" t="s">
        <v>17</v>
      </c>
    </row>
    <row r="15" spans="1:6" ht="15" customHeight="1" x14ac:dyDescent="0.25">
      <c r="A15" s="2" t="s">
        <v>62</v>
      </c>
      <c r="B15" s="2" t="s">
        <v>331</v>
      </c>
      <c r="C15" s="2" t="s">
        <v>475</v>
      </c>
      <c r="D15" s="2" t="s">
        <v>2184</v>
      </c>
      <c r="E15" s="3">
        <v>90</v>
      </c>
      <c r="F15" s="2" t="s">
        <v>17</v>
      </c>
    </row>
    <row r="16" spans="1:6" ht="15" customHeight="1" x14ac:dyDescent="0.25">
      <c r="A16" s="2" t="s">
        <v>62</v>
      </c>
      <c r="B16" s="2" t="s">
        <v>331</v>
      </c>
      <c r="C16" s="2" t="s">
        <v>475</v>
      </c>
      <c r="D16" s="2" t="s">
        <v>2185</v>
      </c>
      <c r="E16" s="3">
        <v>50</v>
      </c>
      <c r="F16" s="2" t="s">
        <v>17</v>
      </c>
    </row>
    <row r="17" spans="1:6" ht="15" customHeight="1" x14ac:dyDescent="0.25">
      <c r="A17" s="2" t="s">
        <v>62</v>
      </c>
      <c r="B17" s="2" t="s">
        <v>331</v>
      </c>
      <c r="C17" s="2" t="s">
        <v>475</v>
      </c>
      <c r="D17" s="2" t="s">
        <v>2186</v>
      </c>
      <c r="E17" s="3">
        <v>40</v>
      </c>
      <c r="F17" s="2" t="s">
        <v>17</v>
      </c>
    </row>
    <row r="18" spans="1:6" ht="15" customHeight="1" x14ac:dyDescent="0.25">
      <c r="A18" s="2" t="s">
        <v>64</v>
      </c>
      <c r="B18" s="2" t="s">
        <v>336</v>
      </c>
      <c r="C18" s="2" t="s">
        <v>475</v>
      </c>
      <c r="D18" s="2" t="s">
        <v>2187</v>
      </c>
      <c r="E18" s="3">
        <v>72</v>
      </c>
      <c r="F18" s="2" t="s">
        <v>17</v>
      </c>
    </row>
    <row r="19" spans="1:6" ht="15" customHeight="1" x14ac:dyDescent="0.25">
      <c r="A19" s="2" t="s">
        <v>64</v>
      </c>
      <c r="B19" s="2" t="s">
        <v>336</v>
      </c>
      <c r="C19" s="2" t="s">
        <v>475</v>
      </c>
      <c r="D19" s="2" t="s">
        <v>2188</v>
      </c>
      <c r="E19" s="3">
        <v>144</v>
      </c>
      <c r="F19" s="2" t="s">
        <v>17</v>
      </c>
    </row>
    <row r="20" spans="1:6" ht="15" customHeight="1" x14ac:dyDescent="0.25">
      <c r="A20" s="2" t="s">
        <v>64</v>
      </c>
      <c r="B20" s="2" t="s">
        <v>337</v>
      </c>
      <c r="C20" s="2" t="s">
        <v>475</v>
      </c>
      <c r="D20" s="2" t="s">
        <v>2189</v>
      </c>
      <c r="E20" s="3">
        <v>100</v>
      </c>
      <c r="F20" s="2" t="s">
        <v>17</v>
      </c>
    </row>
    <row r="21" spans="1:6" ht="15" customHeight="1" x14ac:dyDescent="0.25">
      <c r="A21" s="2" t="s">
        <v>64</v>
      </c>
      <c r="B21" s="2" t="s">
        <v>337</v>
      </c>
      <c r="C21" s="2" t="s">
        <v>475</v>
      </c>
      <c r="D21" s="2" t="s">
        <v>2190</v>
      </c>
      <c r="E21" s="3">
        <v>100</v>
      </c>
      <c r="F21" s="2" t="s">
        <v>17</v>
      </c>
    </row>
    <row r="22" spans="1:6" ht="15" customHeight="1" x14ac:dyDescent="0.25">
      <c r="A22" s="2" t="s">
        <v>64</v>
      </c>
      <c r="B22" s="2" t="s">
        <v>337</v>
      </c>
      <c r="C22" s="2" t="s">
        <v>475</v>
      </c>
      <c r="D22" s="2" t="s">
        <v>2191</v>
      </c>
      <c r="E22" s="3">
        <v>100</v>
      </c>
      <c r="F22" s="2" t="s">
        <v>17</v>
      </c>
    </row>
    <row r="23" spans="1:6" ht="15" customHeight="1" x14ac:dyDescent="0.25">
      <c r="A23" s="2" t="s">
        <v>64</v>
      </c>
      <c r="B23" s="2" t="s">
        <v>338</v>
      </c>
      <c r="C23" s="2" t="s">
        <v>475</v>
      </c>
      <c r="D23" s="2" t="s">
        <v>2192</v>
      </c>
      <c r="E23" s="3">
        <v>148</v>
      </c>
      <c r="F23" s="2" t="s">
        <v>17</v>
      </c>
    </row>
    <row r="24" spans="1:6" ht="15" customHeight="1" x14ac:dyDescent="0.25">
      <c r="A24" s="2" t="s">
        <v>64</v>
      </c>
      <c r="B24" s="2" t="s">
        <v>339</v>
      </c>
      <c r="C24" s="2" t="s">
        <v>475</v>
      </c>
      <c r="D24" s="2" t="s">
        <v>2193</v>
      </c>
      <c r="E24" s="3">
        <v>100</v>
      </c>
      <c r="F24" s="2" t="s">
        <v>17</v>
      </c>
    </row>
    <row r="25" spans="1:6" ht="15" customHeight="1" x14ac:dyDescent="0.25">
      <c r="A25" s="2" t="s">
        <v>64</v>
      </c>
      <c r="B25" s="2" t="s">
        <v>340</v>
      </c>
      <c r="C25" s="2" t="s">
        <v>475</v>
      </c>
      <c r="D25" s="2" t="s">
        <v>2194</v>
      </c>
      <c r="E25" s="3">
        <v>200</v>
      </c>
      <c r="F25" s="2" t="s">
        <v>17</v>
      </c>
    </row>
    <row r="26" spans="1:6" ht="15" customHeight="1" x14ac:dyDescent="0.25">
      <c r="A26" s="2" t="s">
        <v>64</v>
      </c>
      <c r="B26" s="2" t="s">
        <v>341</v>
      </c>
      <c r="C26" s="2" t="s">
        <v>475</v>
      </c>
      <c r="D26" s="2" t="s">
        <v>2195</v>
      </c>
      <c r="E26" s="3">
        <v>80</v>
      </c>
      <c r="F26" s="2" t="s">
        <v>17</v>
      </c>
    </row>
    <row r="27" spans="1:6" ht="15" customHeight="1" x14ac:dyDescent="0.25">
      <c r="A27" s="2" t="s">
        <v>64</v>
      </c>
      <c r="B27" s="2" t="s">
        <v>342</v>
      </c>
      <c r="C27" s="2" t="s">
        <v>475</v>
      </c>
      <c r="D27" s="2" t="s">
        <v>2196</v>
      </c>
      <c r="E27" s="3">
        <v>80</v>
      </c>
      <c r="F27" s="2" t="s">
        <v>17</v>
      </c>
    </row>
    <row r="28" spans="1:6" ht="15" customHeight="1" x14ac:dyDescent="0.25">
      <c r="A28" s="2" t="s">
        <v>64</v>
      </c>
      <c r="B28" s="2" t="s">
        <v>342</v>
      </c>
      <c r="C28" s="2" t="s">
        <v>475</v>
      </c>
      <c r="D28" s="2" t="s">
        <v>2197</v>
      </c>
      <c r="E28" s="3">
        <v>222.35</v>
      </c>
      <c r="F28" s="2" t="s">
        <v>17</v>
      </c>
    </row>
    <row r="29" spans="1:6" ht="15" customHeight="1" x14ac:dyDescent="0.25">
      <c r="A29" s="2" t="s">
        <v>64</v>
      </c>
      <c r="B29" s="2" t="s">
        <v>342</v>
      </c>
      <c r="C29" s="2" t="s">
        <v>475</v>
      </c>
      <c r="D29" s="2" t="s">
        <v>2198</v>
      </c>
      <c r="E29" s="3">
        <v>150</v>
      </c>
      <c r="F29" s="2" t="s">
        <v>17</v>
      </c>
    </row>
    <row r="30" spans="1:6" ht="15" customHeight="1" x14ac:dyDescent="0.25">
      <c r="A30" s="2" t="s">
        <v>64</v>
      </c>
      <c r="B30" s="2" t="s">
        <v>342</v>
      </c>
      <c r="C30" s="2" t="s">
        <v>475</v>
      </c>
      <c r="D30" s="2" t="s">
        <v>2199</v>
      </c>
      <c r="E30" s="3">
        <v>150</v>
      </c>
      <c r="F30" s="2" t="s">
        <v>17</v>
      </c>
    </row>
    <row r="31" spans="1:6" ht="15" customHeight="1" x14ac:dyDescent="0.25">
      <c r="A31" s="2" t="s">
        <v>66</v>
      </c>
      <c r="B31" s="2" t="s">
        <v>343</v>
      </c>
      <c r="C31" s="2" t="s">
        <v>475</v>
      </c>
      <c r="D31" s="2" t="s">
        <v>2200</v>
      </c>
      <c r="E31" s="3">
        <v>294</v>
      </c>
      <c r="F31" s="2" t="s">
        <v>17</v>
      </c>
    </row>
    <row r="32" spans="1:6" ht="15" customHeight="1" x14ac:dyDescent="0.25">
      <c r="A32" s="2" t="s">
        <v>66</v>
      </c>
      <c r="B32" s="2" t="s">
        <v>343</v>
      </c>
      <c r="C32" s="2" t="s">
        <v>475</v>
      </c>
      <c r="D32" s="2" t="s">
        <v>2201</v>
      </c>
      <c r="E32" s="3">
        <v>82.48</v>
      </c>
      <c r="F32" s="2" t="s">
        <v>17</v>
      </c>
    </row>
    <row r="33" spans="1:6" ht="15" customHeight="1" x14ac:dyDescent="0.25">
      <c r="A33" s="2" t="s">
        <v>66</v>
      </c>
      <c r="B33" s="2" t="s">
        <v>343</v>
      </c>
      <c r="C33" s="2" t="s">
        <v>475</v>
      </c>
      <c r="D33" s="2" t="s">
        <v>2202</v>
      </c>
      <c r="E33" s="3">
        <v>147</v>
      </c>
      <c r="F33" s="2" t="s">
        <v>17</v>
      </c>
    </row>
    <row r="34" spans="1:6" ht="15" customHeight="1" x14ac:dyDescent="0.25">
      <c r="A34" s="2" t="s">
        <v>66</v>
      </c>
      <c r="B34" s="2" t="s">
        <v>343</v>
      </c>
      <c r="C34" s="2" t="s">
        <v>475</v>
      </c>
      <c r="D34" s="2" t="s">
        <v>2203</v>
      </c>
      <c r="E34" s="3">
        <v>294</v>
      </c>
      <c r="F34" s="2" t="s">
        <v>17</v>
      </c>
    </row>
    <row r="35" spans="1:6" ht="15" customHeight="1" x14ac:dyDescent="0.25">
      <c r="A35" s="2" t="s">
        <v>66</v>
      </c>
      <c r="B35" s="2" t="s">
        <v>343</v>
      </c>
      <c r="C35" s="2" t="s">
        <v>475</v>
      </c>
      <c r="D35" s="2" t="s">
        <v>2204</v>
      </c>
      <c r="E35" s="3">
        <v>295</v>
      </c>
      <c r="F35" s="2" t="s">
        <v>17</v>
      </c>
    </row>
    <row r="36" spans="1:6" ht="15" customHeight="1" x14ac:dyDescent="0.25">
      <c r="A36" s="2" t="s">
        <v>66</v>
      </c>
      <c r="B36" s="2" t="s">
        <v>343</v>
      </c>
      <c r="C36" s="2" t="s">
        <v>475</v>
      </c>
      <c r="D36" s="2" t="s">
        <v>2205</v>
      </c>
      <c r="E36" s="3">
        <v>294</v>
      </c>
      <c r="F36" s="2" t="s">
        <v>17</v>
      </c>
    </row>
    <row r="37" spans="1:6" ht="15" customHeight="1" x14ac:dyDescent="0.25">
      <c r="A37" s="2" t="s">
        <v>66</v>
      </c>
      <c r="B37" s="2" t="s">
        <v>343</v>
      </c>
      <c r="C37" s="2" t="s">
        <v>475</v>
      </c>
      <c r="D37" s="2" t="s">
        <v>2206</v>
      </c>
      <c r="E37" s="3">
        <v>233.42</v>
      </c>
      <c r="F37" s="2" t="s">
        <v>17</v>
      </c>
    </row>
    <row r="38" spans="1:6" ht="15" customHeight="1" x14ac:dyDescent="0.25">
      <c r="A38" s="2" t="s">
        <v>66</v>
      </c>
      <c r="B38" s="2" t="s">
        <v>343</v>
      </c>
      <c r="C38" s="2" t="s">
        <v>475</v>
      </c>
      <c r="D38" s="2" t="s">
        <v>2207</v>
      </c>
      <c r="E38" s="3">
        <v>294</v>
      </c>
      <c r="F38" s="2" t="s">
        <v>17</v>
      </c>
    </row>
    <row r="39" spans="1:6" ht="15" customHeight="1" x14ac:dyDescent="0.25">
      <c r="A39" s="2" t="s">
        <v>66</v>
      </c>
      <c r="B39" s="2" t="s">
        <v>343</v>
      </c>
      <c r="C39" s="2" t="s">
        <v>475</v>
      </c>
      <c r="D39" s="2" t="s">
        <v>2208</v>
      </c>
      <c r="E39" s="3">
        <v>147</v>
      </c>
      <c r="F39" s="2" t="s">
        <v>17</v>
      </c>
    </row>
    <row r="40" spans="1:6" ht="15" customHeight="1" x14ac:dyDescent="0.25">
      <c r="A40" s="2" t="s">
        <v>66</v>
      </c>
      <c r="B40" s="2" t="s">
        <v>343</v>
      </c>
      <c r="C40" s="2" t="s">
        <v>475</v>
      </c>
      <c r="D40" s="2" t="s">
        <v>2209</v>
      </c>
      <c r="E40" s="3">
        <v>0.01</v>
      </c>
      <c r="F40" s="2" t="s">
        <v>17</v>
      </c>
    </row>
    <row r="41" spans="1:6" ht="15" customHeight="1" x14ac:dyDescent="0.25">
      <c r="A41" s="2" t="s">
        <v>66</v>
      </c>
      <c r="B41" s="2" t="s">
        <v>344</v>
      </c>
      <c r="C41" s="2" t="s">
        <v>475</v>
      </c>
      <c r="D41" s="2" t="s">
        <v>2210</v>
      </c>
      <c r="E41" s="3">
        <v>171.12</v>
      </c>
      <c r="F41" s="2" t="s">
        <v>17</v>
      </c>
    </row>
    <row r="42" spans="1:6" ht="15" customHeight="1" x14ac:dyDescent="0.25">
      <c r="A42" s="2" t="s">
        <v>66</v>
      </c>
      <c r="B42" s="2" t="s">
        <v>344</v>
      </c>
      <c r="C42" s="2" t="s">
        <v>475</v>
      </c>
      <c r="D42" s="2" t="s">
        <v>2211</v>
      </c>
      <c r="E42" s="3">
        <v>171.12</v>
      </c>
      <c r="F42" s="2" t="s">
        <v>17</v>
      </c>
    </row>
    <row r="43" spans="1:6" ht="15" customHeight="1" x14ac:dyDescent="0.25">
      <c r="A43" s="2" t="s">
        <v>66</v>
      </c>
      <c r="B43" s="2" t="s">
        <v>348</v>
      </c>
      <c r="C43" s="2" t="s">
        <v>475</v>
      </c>
      <c r="D43" s="2" t="s">
        <v>2212</v>
      </c>
      <c r="E43" s="3">
        <v>218.53</v>
      </c>
      <c r="F43" s="2" t="s">
        <v>17</v>
      </c>
    </row>
    <row r="44" spans="1:6" ht="15" customHeight="1" x14ac:dyDescent="0.25">
      <c r="A44" s="2" t="s">
        <v>68</v>
      </c>
      <c r="B44" s="2" t="s">
        <v>349</v>
      </c>
      <c r="C44" s="2" t="s">
        <v>475</v>
      </c>
      <c r="D44" s="2" t="s">
        <v>2213</v>
      </c>
      <c r="E44" s="3">
        <v>103</v>
      </c>
      <c r="F44" s="2" t="s">
        <v>17</v>
      </c>
    </row>
    <row r="45" spans="1:6" ht="15" customHeight="1" x14ac:dyDescent="0.25">
      <c r="A45" s="2" t="s">
        <v>68</v>
      </c>
      <c r="B45" s="2" t="s">
        <v>349</v>
      </c>
      <c r="C45" s="2" t="s">
        <v>475</v>
      </c>
      <c r="D45" s="2" t="s">
        <v>2214</v>
      </c>
      <c r="E45" s="3">
        <v>59</v>
      </c>
      <c r="F45" s="2" t="s">
        <v>17</v>
      </c>
    </row>
    <row r="46" spans="1:6" ht="15" customHeight="1" x14ac:dyDescent="0.25">
      <c r="A46" s="2" t="s">
        <v>68</v>
      </c>
      <c r="B46" s="2" t="s">
        <v>349</v>
      </c>
      <c r="C46" s="2" t="s">
        <v>475</v>
      </c>
      <c r="D46" s="2" t="s">
        <v>2215</v>
      </c>
      <c r="E46" s="3">
        <v>174.61</v>
      </c>
      <c r="F46" s="2" t="s">
        <v>17</v>
      </c>
    </row>
    <row r="47" spans="1:6" ht="15" customHeight="1" x14ac:dyDescent="0.25">
      <c r="A47" s="2" t="s">
        <v>68</v>
      </c>
      <c r="B47" s="2" t="s">
        <v>349</v>
      </c>
      <c r="C47" s="2" t="s">
        <v>475</v>
      </c>
      <c r="D47" s="2" t="s">
        <v>2216</v>
      </c>
      <c r="E47" s="3">
        <v>103</v>
      </c>
      <c r="F47" s="2" t="s">
        <v>17</v>
      </c>
    </row>
    <row r="48" spans="1:6" ht="15" customHeight="1" x14ac:dyDescent="0.25">
      <c r="A48" s="2" t="s">
        <v>68</v>
      </c>
      <c r="B48" s="2" t="s">
        <v>349</v>
      </c>
      <c r="C48" s="2" t="s">
        <v>475</v>
      </c>
      <c r="D48" s="2" t="s">
        <v>2217</v>
      </c>
      <c r="E48" s="3">
        <v>74</v>
      </c>
      <c r="F48" s="2" t="s">
        <v>17</v>
      </c>
    </row>
    <row r="49" spans="1:6" ht="15" customHeight="1" x14ac:dyDescent="0.25">
      <c r="A49" s="2" t="s">
        <v>68</v>
      </c>
      <c r="B49" s="2" t="s">
        <v>349</v>
      </c>
      <c r="C49" s="2" t="s">
        <v>475</v>
      </c>
      <c r="D49" s="2" t="s">
        <v>2218</v>
      </c>
      <c r="E49" s="3">
        <v>44</v>
      </c>
      <c r="F49" s="2" t="s">
        <v>17</v>
      </c>
    </row>
    <row r="50" spans="1:6" ht="15" customHeight="1" x14ac:dyDescent="0.25">
      <c r="A50" s="2" t="s">
        <v>68</v>
      </c>
      <c r="B50" s="2" t="s">
        <v>349</v>
      </c>
      <c r="C50" s="2" t="s">
        <v>475</v>
      </c>
      <c r="D50" s="2" t="s">
        <v>2219</v>
      </c>
      <c r="E50" s="3">
        <v>118</v>
      </c>
      <c r="F50" s="2" t="s">
        <v>17</v>
      </c>
    </row>
    <row r="51" spans="1:6" ht="15" customHeight="1" x14ac:dyDescent="0.25">
      <c r="A51" s="2" t="s">
        <v>68</v>
      </c>
      <c r="B51" s="2" t="s">
        <v>351</v>
      </c>
      <c r="C51" s="2" t="s">
        <v>475</v>
      </c>
      <c r="D51" s="2" t="s">
        <v>2220</v>
      </c>
      <c r="E51" s="3">
        <v>150</v>
      </c>
      <c r="F51" s="2" t="s">
        <v>17</v>
      </c>
    </row>
    <row r="52" spans="1:6" ht="15" customHeight="1" x14ac:dyDescent="0.25">
      <c r="A52" s="2" t="s">
        <v>70</v>
      </c>
      <c r="B52" s="2" t="s">
        <v>353</v>
      </c>
      <c r="C52" s="2" t="s">
        <v>475</v>
      </c>
      <c r="D52" s="2" t="s">
        <v>2221</v>
      </c>
      <c r="E52" s="3">
        <v>73</v>
      </c>
      <c r="F52" s="2" t="s">
        <v>17</v>
      </c>
    </row>
    <row r="53" spans="1:6" ht="15" customHeight="1" x14ac:dyDescent="0.25">
      <c r="A53" s="2" t="s">
        <v>70</v>
      </c>
      <c r="B53" s="2" t="s">
        <v>353</v>
      </c>
      <c r="C53" s="2" t="s">
        <v>475</v>
      </c>
      <c r="D53" s="2" t="s">
        <v>2222</v>
      </c>
      <c r="E53" s="3">
        <v>73</v>
      </c>
      <c r="F53" s="2" t="s">
        <v>17</v>
      </c>
    </row>
    <row r="54" spans="1:6" ht="15" customHeight="1" x14ac:dyDescent="0.25">
      <c r="A54" s="2" t="s">
        <v>70</v>
      </c>
      <c r="B54" s="2" t="s">
        <v>353</v>
      </c>
      <c r="C54" s="2" t="s">
        <v>475</v>
      </c>
      <c r="D54" s="2" t="s">
        <v>2223</v>
      </c>
      <c r="E54" s="3">
        <v>172.53</v>
      </c>
      <c r="F54" s="2" t="s">
        <v>17</v>
      </c>
    </row>
    <row r="55" spans="1:6" ht="15" customHeight="1" x14ac:dyDescent="0.25">
      <c r="A55" s="2" t="s">
        <v>70</v>
      </c>
      <c r="B55" s="2" t="s">
        <v>353</v>
      </c>
      <c r="C55" s="2" t="s">
        <v>475</v>
      </c>
      <c r="D55" s="2" t="s">
        <v>2224</v>
      </c>
      <c r="E55" s="3">
        <v>73</v>
      </c>
      <c r="F55" s="2" t="s">
        <v>17</v>
      </c>
    </row>
    <row r="56" spans="1:6" ht="15" customHeight="1" x14ac:dyDescent="0.25">
      <c r="A56" s="2" t="s">
        <v>70</v>
      </c>
      <c r="B56" s="2" t="s">
        <v>353</v>
      </c>
      <c r="C56" s="2" t="s">
        <v>475</v>
      </c>
      <c r="D56" s="2" t="s">
        <v>2225</v>
      </c>
      <c r="E56" s="3">
        <v>146</v>
      </c>
      <c r="F56" s="2" t="s">
        <v>17</v>
      </c>
    </row>
    <row r="57" spans="1:6" ht="15" customHeight="1" x14ac:dyDescent="0.25">
      <c r="A57" s="2" t="s">
        <v>70</v>
      </c>
      <c r="B57" s="2" t="s">
        <v>353</v>
      </c>
      <c r="C57" s="2" t="s">
        <v>475</v>
      </c>
      <c r="D57" s="2" t="s">
        <v>2226</v>
      </c>
      <c r="E57" s="3">
        <v>73</v>
      </c>
      <c r="F57" s="2" t="s">
        <v>17</v>
      </c>
    </row>
    <row r="58" spans="1:6" ht="15" customHeight="1" x14ac:dyDescent="0.25">
      <c r="A58" s="2" t="s">
        <v>70</v>
      </c>
      <c r="B58" s="2" t="s">
        <v>353</v>
      </c>
      <c r="C58" s="2" t="s">
        <v>475</v>
      </c>
      <c r="D58" s="2" t="s">
        <v>2227</v>
      </c>
      <c r="E58" s="3">
        <v>73</v>
      </c>
      <c r="F58" s="2" t="s">
        <v>17</v>
      </c>
    </row>
    <row r="59" spans="1:6" ht="15" customHeight="1" x14ac:dyDescent="0.25">
      <c r="A59" s="2" t="s">
        <v>70</v>
      </c>
      <c r="B59" s="2" t="s">
        <v>353</v>
      </c>
      <c r="C59" s="2" t="s">
        <v>475</v>
      </c>
      <c r="D59" s="2" t="s">
        <v>2228</v>
      </c>
      <c r="E59" s="3">
        <v>73</v>
      </c>
      <c r="F59" s="2" t="s">
        <v>17</v>
      </c>
    </row>
    <row r="60" spans="1:6" ht="15" customHeight="1" x14ac:dyDescent="0.25">
      <c r="A60" s="2" t="s">
        <v>70</v>
      </c>
      <c r="B60" s="2" t="s">
        <v>353</v>
      </c>
      <c r="C60" s="2" t="s">
        <v>475</v>
      </c>
      <c r="D60" s="2" t="s">
        <v>2229</v>
      </c>
      <c r="E60" s="3">
        <v>73</v>
      </c>
      <c r="F60" s="2" t="s">
        <v>17</v>
      </c>
    </row>
    <row r="61" spans="1:6" ht="15" customHeight="1" x14ac:dyDescent="0.25">
      <c r="A61" s="2" t="s">
        <v>70</v>
      </c>
      <c r="B61" s="2" t="s">
        <v>356</v>
      </c>
      <c r="C61" s="2" t="s">
        <v>475</v>
      </c>
      <c r="D61" s="2" t="s">
        <v>2230</v>
      </c>
      <c r="E61" s="3">
        <v>213.21</v>
      </c>
      <c r="F61" s="2" t="s">
        <v>17</v>
      </c>
    </row>
    <row r="62" spans="1:6" ht="15" customHeight="1" x14ac:dyDescent="0.25">
      <c r="A62" s="2" t="s">
        <v>70</v>
      </c>
      <c r="B62" s="2" t="s">
        <v>357</v>
      </c>
      <c r="C62" s="2" t="s">
        <v>475</v>
      </c>
      <c r="D62" s="2" t="s">
        <v>2231</v>
      </c>
      <c r="E62" s="3">
        <v>0.04</v>
      </c>
      <c r="F62" s="2" t="s">
        <v>17</v>
      </c>
    </row>
    <row r="63" spans="1:6" ht="15" customHeight="1" x14ac:dyDescent="0.25">
      <c r="A63" s="2" t="s">
        <v>72</v>
      </c>
      <c r="B63" s="2" t="s">
        <v>360</v>
      </c>
      <c r="C63" s="2" t="s">
        <v>475</v>
      </c>
      <c r="D63" s="2" t="s">
        <v>2232</v>
      </c>
      <c r="E63" s="3">
        <v>60</v>
      </c>
      <c r="F63" s="2" t="s">
        <v>17</v>
      </c>
    </row>
    <row r="64" spans="1:6" ht="15" customHeight="1" x14ac:dyDescent="0.25">
      <c r="A64" s="2" t="s">
        <v>72</v>
      </c>
      <c r="B64" s="2" t="s">
        <v>364</v>
      </c>
      <c r="C64" s="2" t="s">
        <v>475</v>
      </c>
      <c r="D64" s="2" t="s">
        <v>2233</v>
      </c>
      <c r="E64" s="3">
        <v>60</v>
      </c>
      <c r="F64" s="2" t="s">
        <v>17</v>
      </c>
    </row>
    <row r="65" spans="1:6" ht="15" customHeight="1" x14ac:dyDescent="0.25">
      <c r="A65" s="2" t="s">
        <v>72</v>
      </c>
      <c r="B65" s="2" t="s">
        <v>364</v>
      </c>
      <c r="C65" s="2" t="s">
        <v>475</v>
      </c>
      <c r="D65" s="2" t="s">
        <v>2234</v>
      </c>
      <c r="E65" s="3">
        <v>85.66</v>
      </c>
      <c r="F65" s="2" t="s">
        <v>17</v>
      </c>
    </row>
    <row r="66" spans="1:6" ht="15" customHeight="1" x14ac:dyDescent="0.25">
      <c r="A66" s="2" t="s">
        <v>72</v>
      </c>
      <c r="B66" s="2" t="s">
        <v>364</v>
      </c>
      <c r="C66" s="2" t="s">
        <v>475</v>
      </c>
      <c r="D66" s="2" t="s">
        <v>2235</v>
      </c>
      <c r="E66" s="3">
        <v>60</v>
      </c>
      <c r="F66" s="2" t="s">
        <v>17</v>
      </c>
    </row>
    <row r="67" spans="1:6" ht="15" customHeight="1" x14ac:dyDescent="0.25">
      <c r="A67" s="2" t="s">
        <v>72</v>
      </c>
      <c r="B67" s="2" t="s">
        <v>364</v>
      </c>
      <c r="C67" s="2" t="s">
        <v>475</v>
      </c>
      <c r="D67" s="2" t="s">
        <v>2236</v>
      </c>
      <c r="E67" s="3">
        <v>50</v>
      </c>
      <c r="F67" s="2" t="s">
        <v>17</v>
      </c>
    </row>
    <row r="68" spans="1:6" ht="15" customHeight="1" x14ac:dyDescent="0.25">
      <c r="A68" s="2" t="s">
        <v>72</v>
      </c>
      <c r="B68" s="2" t="s">
        <v>364</v>
      </c>
      <c r="C68" s="2" t="s">
        <v>475</v>
      </c>
      <c r="D68" s="2" t="s">
        <v>2237</v>
      </c>
      <c r="E68" s="3">
        <v>50</v>
      </c>
      <c r="F68" s="2" t="s">
        <v>17</v>
      </c>
    </row>
    <row r="69" spans="1:6" ht="15" customHeight="1" x14ac:dyDescent="0.25">
      <c r="A69" s="2" t="s">
        <v>74</v>
      </c>
      <c r="B69" s="2" t="s">
        <v>365</v>
      </c>
      <c r="C69" s="2" t="s">
        <v>475</v>
      </c>
      <c r="D69" s="2" t="s">
        <v>2238</v>
      </c>
      <c r="E69" s="3">
        <v>57.53</v>
      </c>
      <c r="F69" s="2" t="s">
        <v>17</v>
      </c>
    </row>
    <row r="70" spans="1:6" ht="15" customHeight="1" x14ac:dyDescent="0.25">
      <c r="A70" s="2" t="s">
        <v>74</v>
      </c>
      <c r="B70" s="2" t="s">
        <v>365</v>
      </c>
      <c r="C70" s="2" t="s">
        <v>475</v>
      </c>
      <c r="D70" s="2" t="s">
        <v>2239</v>
      </c>
      <c r="E70" s="3">
        <v>45</v>
      </c>
      <c r="F70" s="2" t="s">
        <v>17</v>
      </c>
    </row>
    <row r="71" spans="1:6" ht="15" customHeight="1" x14ac:dyDescent="0.25">
      <c r="A71" s="2" t="s">
        <v>74</v>
      </c>
      <c r="B71" s="2" t="s">
        <v>365</v>
      </c>
      <c r="C71" s="2" t="s">
        <v>475</v>
      </c>
      <c r="D71" s="2" t="s">
        <v>2240</v>
      </c>
      <c r="E71" s="3">
        <v>45</v>
      </c>
      <c r="F71" s="2" t="s">
        <v>17</v>
      </c>
    </row>
    <row r="72" spans="1:6" ht="15" customHeight="1" x14ac:dyDescent="0.25">
      <c r="A72" s="2" t="s">
        <v>74</v>
      </c>
      <c r="B72" s="2" t="s">
        <v>365</v>
      </c>
      <c r="C72" s="2" t="s">
        <v>475</v>
      </c>
      <c r="D72" s="2" t="s">
        <v>2241</v>
      </c>
      <c r="E72" s="3">
        <v>45</v>
      </c>
      <c r="F72" s="2" t="s">
        <v>17</v>
      </c>
    </row>
    <row r="73" spans="1:6" ht="15" customHeight="1" x14ac:dyDescent="0.25">
      <c r="A73" s="2" t="s">
        <v>74</v>
      </c>
      <c r="B73" s="2" t="s">
        <v>365</v>
      </c>
      <c r="C73" s="2" t="s">
        <v>475</v>
      </c>
      <c r="D73" s="2" t="s">
        <v>2242</v>
      </c>
      <c r="E73" s="3">
        <v>27</v>
      </c>
      <c r="F73" s="2" t="s">
        <v>17</v>
      </c>
    </row>
    <row r="74" spans="1:6" ht="15" customHeight="1" x14ac:dyDescent="0.25">
      <c r="A74" s="2" t="s">
        <v>74</v>
      </c>
      <c r="B74" s="2" t="s">
        <v>365</v>
      </c>
      <c r="C74" s="2" t="s">
        <v>475</v>
      </c>
      <c r="D74" s="2" t="s">
        <v>2243</v>
      </c>
      <c r="E74" s="3">
        <v>30</v>
      </c>
      <c r="F74" s="2" t="s">
        <v>17</v>
      </c>
    </row>
    <row r="75" spans="1:6" ht="15" customHeight="1" x14ac:dyDescent="0.25">
      <c r="A75" s="2" t="s">
        <v>74</v>
      </c>
      <c r="B75" s="2" t="s">
        <v>365</v>
      </c>
      <c r="C75" s="2" t="s">
        <v>475</v>
      </c>
      <c r="D75" s="2" t="s">
        <v>2244</v>
      </c>
      <c r="E75" s="3">
        <v>27</v>
      </c>
      <c r="F75" s="2" t="s">
        <v>17</v>
      </c>
    </row>
    <row r="76" spans="1:6" ht="15" customHeight="1" x14ac:dyDescent="0.25">
      <c r="A76" s="2" t="s">
        <v>74</v>
      </c>
      <c r="B76" s="2" t="s">
        <v>373</v>
      </c>
      <c r="C76" s="2" t="s">
        <v>475</v>
      </c>
      <c r="D76" s="2" t="s">
        <v>2245</v>
      </c>
      <c r="E76" s="3">
        <v>26.65</v>
      </c>
      <c r="F76" s="2" t="s">
        <v>17</v>
      </c>
    </row>
    <row r="77" spans="1:6" ht="15" customHeight="1" x14ac:dyDescent="0.25">
      <c r="A77" s="2" t="s">
        <v>74</v>
      </c>
      <c r="B77" s="2" t="s">
        <v>373</v>
      </c>
      <c r="C77" s="2" t="s">
        <v>475</v>
      </c>
      <c r="D77" s="2" t="s">
        <v>2246</v>
      </c>
      <c r="E77" s="3">
        <v>25</v>
      </c>
      <c r="F77" s="2" t="s">
        <v>17</v>
      </c>
    </row>
    <row r="78" spans="1:6" ht="15" customHeight="1" x14ac:dyDescent="0.25">
      <c r="A78" s="2" t="s">
        <v>74</v>
      </c>
      <c r="B78" s="2" t="s">
        <v>373</v>
      </c>
      <c r="C78" s="2" t="s">
        <v>475</v>
      </c>
      <c r="D78" s="2" t="s">
        <v>2247</v>
      </c>
      <c r="E78" s="3">
        <v>76.150000000000006</v>
      </c>
      <c r="F78" s="2" t="s">
        <v>17</v>
      </c>
    </row>
    <row r="79" spans="1:6" ht="15" customHeight="1" x14ac:dyDescent="0.25">
      <c r="A79" s="2" t="s">
        <v>74</v>
      </c>
      <c r="B79" s="2" t="s">
        <v>373</v>
      </c>
      <c r="C79" s="2" t="s">
        <v>475</v>
      </c>
      <c r="D79" s="2" t="s">
        <v>2248</v>
      </c>
      <c r="E79" s="3">
        <v>30</v>
      </c>
      <c r="F79" s="2" t="s">
        <v>17</v>
      </c>
    </row>
    <row r="80" spans="1:6" ht="15" customHeight="1" x14ac:dyDescent="0.25">
      <c r="A80" s="2" t="s">
        <v>74</v>
      </c>
      <c r="B80" s="2" t="s">
        <v>373</v>
      </c>
      <c r="C80" s="2" t="s">
        <v>475</v>
      </c>
      <c r="D80" s="2" t="s">
        <v>2249</v>
      </c>
      <c r="E80" s="3">
        <v>30</v>
      </c>
      <c r="F80" s="2" t="s">
        <v>17</v>
      </c>
    </row>
    <row r="81" spans="1:6" ht="15" customHeight="1" x14ac:dyDescent="0.25">
      <c r="A81" s="2" t="s">
        <v>74</v>
      </c>
      <c r="B81" s="2" t="s">
        <v>373</v>
      </c>
      <c r="C81" s="2" t="s">
        <v>475</v>
      </c>
      <c r="D81" s="2" t="s">
        <v>2250</v>
      </c>
      <c r="E81" s="3">
        <v>90</v>
      </c>
      <c r="F81" s="2" t="s">
        <v>17</v>
      </c>
    </row>
    <row r="82" spans="1:6" ht="15" customHeight="1" x14ac:dyDescent="0.25">
      <c r="A82" s="2" t="s">
        <v>74</v>
      </c>
      <c r="B82" s="2" t="s">
        <v>373</v>
      </c>
      <c r="C82" s="2" t="s">
        <v>475</v>
      </c>
      <c r="D82" s="2" t="s">
        <v>2251</v>
      </c>
      <c r="E82" s="3">
        <v>84.38</v>
      </c>
      <c r="F82" s="2" t="s">
        <v>17</v>
      </c>
    </row>
    <row r="83" spans="1:6" ht="15" customHeight="1" x14ac:dyDescent="0.25">
      <c r="A83" s="2" t="s">
        <v>74</v>
      </c>
      <c r="B83" s="2" t="s">
        <v>373</v>
      </c>
      <c r="C83" s="2" t="s">
        <v>475</v>
      </c>
      <c r="D83" s="2" t="s">
        <v>2252</v>
      </c>
      <c r="E83" s="3">
        <v>30</v>
      </c>
      <c r="F83" s="2" t="s">
        <v>17</v>
      </c>
    </row>
    <row r="84" spans="1:6" ht="15" customHeight="1" x14ac:dyDescent="0.25">
      <c r="A84" s="2" t="s">
        <v>74</v>
      </c>
      <c r="B84" s="2" t="s">
        <v>373</v>
      </c>
      <c r="C84" s="2" t="s">
        <v>475</v>
      </c>
      <c r="D84" s="2" t="s">
        <v>2253</v>
      </c>
      <c r="E84" s="3">
        <v>40</v>
      </c>
      <c r="F84" s="2" t="s">
        <v>17</v>
      </c>
    </row>
    <row r="85" spans="1:6" ht="15" customHeight="1" x14ac:dyDescent="0.25">
      <c r="A85" s="2" t="s">
        <v>74</v>
      </c>
      <c r="B85" s="2" t="s">
        <v>373</v>
      </c>
      <c r="C85" s="2" t="s">
        <v>475</v>
      </c>
      <c r="D85" s="2" t="s">
        <v>2254</v>
      </c>
      <c r="E85" s="3">
        <v>30</v>
      </c>
      <c r="F85" s="2" t="s">
        <v>17</v>
      </c>
    </row>
    <row r="86" spans="1:6" ht="15" customHeight="1" x14ac:dyDescent="0.25">
      <c r="A86" s="2" t="s">
        <v>74</v>
      </c>
      <c r="B86" s="2" t="s">
        <v>373</v>
      </c>
      <c r="C86" s="2" t="s">
        <v>475</v>
      </c>
      <c r="D86" s="2" t="s">
        <v>2255</v>
      </c>
      <c r="E86" s="3">
        <v>50</v>
      </c>
      <c r="F86" s="2" t="s">
        <v>17</v>
      </c>
    </row>
    <row r="87" spans="1:6" ht="15" customHeight="1" x14ac:dyDescent="0.25">
      <c r="A87" s="2" t="s">
        <v>74</v>
      </c>
      <c r="B87" s="2" t="s">
        <v>374</v>
      </c>
      <c r="C87" s="2" t="s">
        <v>475</v>
      </c>
      <c r="D87" s="2" t="s">
        <v>2256</v>
      </c>
      <c r="E87" s="3">
        <v>30</v>
      </c>
      <c r="F87" s="2" t="s">
        <v>17</v>
      </c>
    </row>
    <row r="88" spans="1:6" ht="15" customHeight="1" x14ac:dyDescent="0.25">
      <c r="A88" s="2" t="s">
        <v>76</v>
      </c>
      <c r="B88" s="2" t="s">
        <v>378</v>
      </c>
      <c r="C88" s="2" t="s">
        <v>475</v>
      </c>
      <c r="D88" s="2" t="s">
        <v>2257</v>
      </c>
      <c r="E88" s="3">
        <v>61</v>
      </c>
      <c r="F88" s="2" t="s">
        <v>17</v>
      </c>
    </row>
    <row r="89" spans="1:6" ht="15" customHeight="1" x14ac:dyDescent="0.25">
      <c r="A89" s="2" t="s">
        <v>76</v>
      </c>
      <c r="B89" s="2" t="s">
        <v>378</v>
      </c>
      <c r="C89" s="2" t="s">
        <v>475</v>
      </c>
      <c r="D89" s="2" t="s">
        <v>2258</v>
      </c>
      <c r="E89" s="3">
        <v>57.47</v>
      </c>
      <c r="F89" s="2" t="s">
        <v>17</v>
      </c>
    </row>
    <row r="90" spans="1:6" ht="15" customHeight="1" x14ac:dyDescent="0.25">
      <c r="A90" s="2" t="s">
        <v>76</v>
      </c>
      <c r="B90" s="2" t="s">
        <v>378</v>
      </c>
      <c r="C90" s="2" t="s">
        <v>475</v>
      </c>
      <c r="D90" s="2" t="s">
        <v>2259</v>
      </c>
      <c r="E90" s="3">
        <v>37</v>
      </c>
      <c r="F90" s="2" t="s">
        <v>17</v>
      </c>
    </row>
    <row r="91" spans="1:6" ht="15" customHeight="1" x14ac:dyDescent="0.25">
      <c r="A91" s="2" t="s">
        <v>76</v>
      </c>
      <c r="B91" s="2" t="s">
        <v>378</v>
      </c>
      <c r="C91" s="2" t="s">
        <v>475</v>
      </c>
      <c r="D91" s="2" t="s">
        <v>2260</v>
      </c>
      <c r="E91" s="3">
        <v>37</v>
      </c>
      <c r="F91" s="2" t="s">
        <v>17</v>
      </c>
    </row>
    <row r="92" spans="1:6" ht="15" customHeight="1" x14ac:dyDescent="0.25">
      <c r="A92" s="2" t="s">
        <v>76</v>
      </c>
      <c r="B92" s="2" t="s">
        <v>378</v>
      </c>
      <c r="C92" s="2" t="s">
        <v>475</v>
      </c>
      <c r="D92" s="2" t="s">
        <v>2261</v>
      </c>
      <c r="E92" s="3">
        <v>49</v>
      </c>
      <c r="F92" s="2" t="s">
        <v>17</v>
      </c>
    </row>
    <row r="93" spans="1:6" ht="15" customHeight="1" x14ac:dyDescent="0.25">
      <c r="A93" s="2" t="s">
        <v>76</v>
      </c>
      <c r="B93" s="2" t="s">
        <v>378</v>
      </c>
      <c r="C93" s="2" t="s">
        <v>475</v>
      </c>
      <c r="D93" s="2" t="s">
        <v>2262</v>
      </c>
      <c r="E93" s="3">
        <v>61</v>
      </c>
      <c r="F93" s="2" t="s">
        <v>17</v>
      </c>
    </row>
    <row r="94" spans="1:6" ht="15" customHeight="1" x14ac:dyDescent="0.25">
      <c r="A94" s="2" t="s">
        <v>76</v>
      </c>
      <c r="B94" s="2" t="s">
        <v>378</v>
      </c>
      <c r="C94" s="2" t="s">
        <v>475</v>
      </c>
      <c r="D94" s="2" t="s">
        <v>2263</v>
      </c>
      <c r="E94" s="3">
        <v>49</v>
      </c>
      <c r="F94" s="2" t="s">
        <v>17</v>
      </c>
    </row>
    <row r="95" spans="1:6" ht="15" customHeight="1" x14ac:dyDescent="0.25">
      <c r="A95" s="2" t="s">
        <v>76</v>
      </c>
      <c r="B95" s="2" t="s">
        <v>379</v>
      </c>
      <c r="C95" s="2" t="s">
        <v>475</v>
      </c>
      <c r="D95" s="2" t="s">
        <v>2264</v>
      </c>
      <c r="E95" s="3">
        <v>30</v>
      </c>
      <c r="F95" s="2" t="s">
        <v>17</v>
      </c>
    </row>
    <row r="96" spans="1:6" ht="15" customHeight="1" x14ac:dyDescent="0.25">
      <c r="A96" s="2" t="s">
        <v>76</v>
      </c>
      <c r="B96" s="2" t="s">
        <v>380</v>
      </c>
      <c r="C96" s="2" t="s">
        <v>475</v>
      </c>
      <c r="D96" s="2" t="s">
        <v>2265</v>
      </c>
      <c r="E96" s="3">
        <v>0.01</v>
      </c>
      <c r="F96" s="2" t="s">
        <v>17</v>
      </c>
    </row>
    <row r="97" spans="1:6" ht="15" customHeight="1" x14ac:dyDescent="0.25">
      <c r="A97" s="2" t="s">
        <v>76</v>
      </c>
      <c r="B97" s="2" t="s">
        <v>395</v>
      </c>
      <c r="C97" s="2" t="s">
        <v>475</v>
      </c>
      <c r="D97" s="2" t="s">
        <v>2266</v>
      </c>
      <c r="E97" s="3">
        <v>300</v>
      </c>
      <c r="F97" s="2" t="s">
        <v>17</v>
      </c>
    </row>
    <row r="98" spans="1:6" ht="15" customHeight="1" x14ac:dyDescent="0.25">
      <c r="A98" s="2" t="s">
        <v>78</v>
      </c>
      <c r="B98" s="2" t="s">
        <v>398</v>
      </c>
      <c r="C98" s="2" t="s">
        <v>475</v>
      </c>
      <c r="D98" s="2" t="s">
        <v>2267</v>
      </c>
      <c r="E98" s="3">
        <v>0.01</v>
      </c>
      <c r="F98" s="2" t="s">
        <v>17</v>
      </c>
    </row>
    <row r="99" spans="1:6" ht="15" customHeight="1" x14ac:dyDescent="0.25">
      <c r="A99" s="2" t="s">
        <v>78</v>
      </c>
      <c r="B99" s="2" t="s">
        <v>400</v>
      </c>
      <c r="C99" s="2" t="s">
        <v>475</v>
      </c>
      <c r="D99" s="2" t="s">
        <v>2268</v>
      </c>
      <c r="E99" s="3">
        <v>0.02</v>
      </c>
      <c r="F99" s="2" t="s">
        <v>17</v>
      </c>
    </row>
    <row r="100" spans="1:6" ht="15" customHeight="1" x14ac:dyDescent="0.25">
      <c r="A100" s="2" t="s">
        <v>78</v>
      </c>
      <c r="B100" s="2" t="s">
        <v>403</v>
      </c>
      <c r="C100" s="2" t="s">
        <v>475</v>
      </c>
      <c r="D100" s="2" t="s">
        <v>2269</v>
      </c>
      <c r="E100" s="3">
        <v>0.01</v>
      </c>
      <c r="F100" s="2" t="s">
        <v>17</v>
      </c>
    </row>
    <row r="101" spans="1:6" ht="15" customHeight="1" x14ac:dyDescent="0.25">
      <c r="A101" s="2" t="s">
        <v>82</v>
      </c>
      <c r="B101" s="2" t="s">
        <v>416</v>
      </c>
      <c r="C101" s="2" t="s">
        <v>475</v>
      </c>
      <c r="D101" s="2" t="s">
        <v>2270</v>
      </c>
      <c r="E101" s="3">
        <v>62</v>
      </c>
      <c r="F101" s="2" t="s">
        <v>17</v>
      </c>
    </row>
    <row r="102" spans="1:6" ht="15" customHeight="1" x14ac:dyDescent="0.25">
      <c r="A102" s="2" t="s">
        <v>82</v>
      </c>
      <c r="B102" s="2" t="s">
        <v>417</v>
      </c>
      <c r="C102" s="2" t="s">
        <v>475</v>
      </c>
      <c r="D102" s="2" t="s">
        <v>2271</v>
      </c>
      <c r="E102" s="3">
        <v>71.849999999999994</v>
      </c>
      <c r="F102" s="2" t="s">
        <v>17</v>
      </c>
    </row>
    <row r="103" spans="1:6" ht="15" customHeight="1" x14ac:dyDescent="0.25">
      <c r="A103" s="2" t="s">
        <v>82</v>
      </c>
      <c r="B103" s="2" t="s">
        <v>417</v>
      </c>
      <c r="C103" s="2" t="s">
        <v>475</v>
      </c>
      <c r="D103" s="2" t="s">
        <v>2272</v>
      </c>
      <c r="E103" s="3">
        <v>61</v>
      </c>
      <c r="F103" s="2" t="s">
        <v>17</v>
      </c>
    </row>
    <row r="104" spans="1:6" ht="15" customHeight="1" x14ac:dyDescent="0.25">
      <c r="A104" s="2" t="s">
        <v>82</v>
      </c>
      <c r="B104" s="2" t="s">
        <v>418</v>
      </c>
      <c r="C104" s="2" t="s">
        <v>475</v>
      </c>
      <c r="D104" s="2" t="s">
        <v>2273</v>
      </c>
      <c r="E104" s="3">
        <v>60</v>
      </c>
      <c r="F104" s="2" t="s">
        <v>17</v>
      </c>
    </row>
    <row r="105" spans="1:6" ht="15" customHeight="1" x14ac:dyDescent="0.25">
      <c r="A105" s="2" t="s">
        <v>82</v>
      </c>
      <c r="B105" s="2" t="s">
        <v>418</v>
      </c>
      <c r="C105" s="2" t="s">
        <v>475</v>
      </c>
      <c r="D105" s="2" t="s">
        <v>2274</v>
      </c>
      <c r="E105" s="3">
        <v>63.75</v>
      </c>
      <c r="F105" s="2" t="s">
        <v>17</v>
      </c>
    </row>
    <row r="106" spans="1:6" ht="15" customHeight="1" x14ac:dyDescent="0.25">
      <c r="A106" s="2" t="s">
        <v>82</v>
      </c>
      <c r="B106" s="2" t="s">
        <v>418</v>
      </c>
      <c r="C106" s="2" t="s">
        <v>475</v>
      </c>
      <c r="D106" s="2" t="s">
        <v>2275</v>
      </c>
      <c r="E106" s="3">
        <v>91.86</v>
      </c>
      <c r="F106" s="2" t="s">
        <v>17</v>
      </c>
    </row>
    <row r="107" spans="1:6" ht="15" customHeight="1" x14ac:dyDescent="0.25">
      <c r="A107" s="2" t="s">
        <v>82</v>
      </c>
      <c r="B107" s="2" t="s">
        <v>420</v>
      </c>
      <c r="C107" s="2" t="s">
        <v>475</v>
      </c>
      <c r="D107" s="2" t="s">
        <v>2276</v>
      </c>
      <c r="E107" s="3">
        <v>60</v>
      </c>
      <c r="F107" s="2" t="s">
        <v>17</v>
      </c>
    </row>
    <row r="108" spans="1:6" ht="15" customHeight="1" x14ac:dyDescent="0.25">
      <c r="A108" s="2" t="s">
        <v>84</v>
      </c>
      <c r="B108" s="2" t="s">
        <v>424</v>
      </c>
      <c r="C108" s="2" t="s">
        <v>475</v>
      </c>
      <c r="D108" s="2" t="s">
        <v>2277</v>
      </c>
      <c r="E108" s="3">
        <v>16</v>
      </c>
      <c r="F108" s="2" t="s">
        <v>17</v>
      </c>
    </row>
    <row r="109" spans="1:6" ht="15" customHeight="1" x14ac:dyDescent="0.25">
      <c r="A109" s="2" t="s">
        <v>84</v>
      </c>
      <c r="B109" s="2" t="s">
        <v>424</v>
      </c>
      <c r="C109" s="2" t="s">
        <v>475</v>
      </c>
      <c r="D109" s="2" t="s">
        <v>2278</v>
      </c>
      <c r="E109" s="3">
        <v>62</v>
      </c>
      <c r="F109" s="2" t="s">
        <v>17</v>
      </c>
    </row>
    <row r="110" spans="1:6" ht="15" customHeight="1" x14ac:dyDescent="0.25">
      <c r="A110" s="2" t="s">
        <v>84</v>
      </c>
      <c r="B110" s="2" t="s">
        <v>424</v>
      </c>
      <c r="C110" s="2" t="s">
        <v>475</v>
      </c>
      <c r="D110" s="2" t="s">
        <v>2279</v>
      </c>
      <c r="E110" s="3">
        <v>47</v>
      </c>
      <c r="F110" s="2" t="s">
        <v>17</v>
      </c>
    </row>
    <row r="111" spans="1:6" ht="15" customHeight="1" x14ac:dyDescent="0.25">
      <c r="A111" s="2" t="s">
        <v>84</v>
      </c>
      <c r="B111" s="2" t="s">
        <v>424</v>
      </c>
      <c r="C111" s="2" t="s">
        <v>475</v>
      </c>
      <c r="D111" s="2" t="s">
        <v>2280</v>
      </c>
      <c r="E111" s="3">
        <v>62</v>
      </c>
      <c r="F111" s="2" t="s">
        <v>17</v>
      </c>
    </row>
    <row r="112" spans="1:6" ht="15" customHeight="1" x14ac:dyDescent="0.25">
      <c r="A112" s="2" t="s">
        <v>84</v>
      </c>
      <c r="B112" s="2" t="s">
        <v>425</v>
      </c>
      <c r="C112" s="2" t="s">
        <v>475</v>
      </c>
      <c r="D112" s="2" t="s">
        <v>2281</v>
      </c>
      <c r="E112" s="3">
        <v>31</v>
      </c>
      <c r="F112" s="2" t="s">
        <v>17</v>
      </c>
    </row>
    <row r="113" spans="1:6" ht="15" customHeight="1" x14ac:dyDescent="0.25">
      <c r="A113" s="2" t="s">
        <v>84</v>
      </c>
      <c r="B113" s="2" t="s">
        <v>425</v>
      </c>
      <c r="C113" s="2" t="s">
        <v>475</v>
      </c>
      <c r="D113" s="2" t="s">
        <v>2282</v>
      </c>
      <c r="E113" s="3">
        <v>78</v>
      </c>
      <c r="F113" s="2" t="s">
        <v>17</v>
      </c>
    </row>
    <row r="114" spans="1:6" ht="15" customHeight="1" x14ac:dyDescent="0.25">
      <c r="A114" s="2" t="s">
        <v>84</v>
      </c>
      <c r="B114" s="2" t="s">
        <v>425</v>
      </c>
      <c r="C114" s="2" t="s">
        <v>475</v>
      </c>
      <c r="D114" s="2" t="s">
        <v>2283</v>
      </c>
      <c r="E114" s="3">
        <v>50.32</v>
      </c>
      <c r="F114" s="2" t="s">
        <v>17</v>
      </c>
    </row>
    <row r="115" spans="1:6" ht="15" customHeight="1" x14ac:dyDescent="0.25">
      <c r="A115" s="2" t="s">
        <v>84</v>
      </c>
      <c r="B115" s="2" t="s">
        <v>425</v>
      </c>
      <c r="C115" s="2" t="s">
        <v>475</v>
      </c>
      <c r="D115" s="2" t="s">
        <v>2284</v>
      </c>
      <c r="E115" s="3">
        <v>60</v>
      </c>
      <c r="F115" s="2" t="s">
        <v>17</v>
      </c>
    </row>
    <row r="116" spans="1:6" ht="15" customHeight="1" x14ac:dyDescent="0.25">
      <c r="A116" s="2" t="s">
        <v>84</v>
      </c>
      <c r="B116" s="2" t="s">
        <v>425</v>
      </c>
      <c r="C116" s="2" t="s">
        <v>475</v>
      </c>
      <c r="D116" s="2" t="s">
        <v>2285</v>
      </c>
      <c r="E116" s="3">
        <v>70.06</v>
      </c>
      <c r="F116" s="2" t="s">
        <v>17</v>
      </c>
    </row>
    <row r="117" spans="1:6" ht="15" customHeight="1" x14ac:dyDescent="0.25">
      <c r="A117" s="2" t="s">
        <v>84</v>
      </c>
      <c r="B117" s="2" t="s">
        <v>426</v>
      </c>
      <c r="C117" s="2" t="s">
        <v>475</v>
      </c>
      <c r="D117" s="2" t="s">
        <v>2286</v>
      </c>
      <c r="E117" s="3">
        <v>59.32</v>
      </c>
      <c r="F117" s="2" t="s">
        <v>17</v>
      </c>
    </row>
    <row r="118" spans="1:6" ht="15" customHeight="1" x14ac:dyDescent="0.25">
      <c r="A118" s="2" t="s">
        <v>84</v>
      </c>
      <c r="B118" s="2" t="s">
        <v>426</v>
      </c>
      <c r="C118" s="2" t="s">
        <v>475</v>
      </c>
      <c r="D118" s="2" t="s">
        <v>2287</v>
      </c>
      <c r="E118" s="3">
        <v>60</v>
      </c>
      <c r="F118" s="2" t="s">
        <v>17</v>
      </c>
    </row>
    <row r="119" spans="1:6" ht="15" customHeight="1" x14ac:dyDescent="0.25">
      <c r="A119" s="2" t="s">
        <v>84</v>
      </c>
      <c r="B119" s="2" t="s">
        <v>427</v>
      </c>
      <c r="C119" s="2" t="s">
        <v>475</v>
      </c>
      <c r="D119" s="2" t="s">
        <v>2288</v>
      </c>
      <c r="E119" s="3">
        <v>25</v>
      </c>
      <c r="F119" s="2" t="s">
        <v>17</v>
      </c>
    </row>
    <row r="120" spans="1:6" ht="15" customHeight="1" x14ac:dyDescent="0.25">
      <c r="A120" s="2" t="s">
        <v>84</v>
      </c>
      <c r="B120" s="2" t="s">
        <v>427</v>
      </c>
      <c r="C120" s="2" t="s">
        <v>475</v>
      </c>
      <c r="D120" s="2" t="s">
        <v>2289</v>
      </c>
      <c r="E120" s="3">
        <v>50</v>
      </c>
      <c r="F120" s="2" t="s">
        <v>17</v>
      </c>
    </row>
    <row r="121" spans="1:6" ht="15" customHeight="1" x14ac:dyDescent="0.25">
      <c r="A121" s="2" t="s">
        <v>84</v>
      </c>
      <c r="B121" s="2" t="s">
        <v>427</v>
      </c>
      <c r="C121" s="2" t="s">
        <v>475</v>
      </c>
      <c r="D121" s="2" t="s">
        <v>2290</v>
      </c>
      <c r="E121" s="3">
        <v>50</v>
      </c>
      <c r="F121" s="2" t="s">
        <v>17</v>
      </c>
    </row>
    <row r="122" spans="1:6" ht="15" customHeight="1" x14ac:dyDescent="0.25">
      <c r="A122" s="2" t="s">
        <v>84</v>
      </c>
      <c r="B122" s="2" t="s">
        <v>427</v>
      </c>
      <c r="C122" s="2" t="s">
        <v>475</v>
      </c>
      <c r="D122" s="2" t="s">
        <v>2291</v>
      </c>
      <c r="E122" s="3">
        <v>20</v>
      </c>
      <c r="F122" s="2" t="s">
        <v>17</v>
      </c>
    </row>
    <row r="123" spans="1:6" ht="15" customHeight="1" x14ac:dyDescent="0.25">
      <c r="A123" s="2" t="s">
        <v>84</v>
      </c>
      <c r="B123" s="2" t="s">
        <v>428</v>
      </c>
      <c r="C123" s="2" t="s">
        <v>475</v>
      </c>
      <c r="D123" s="2" t="s">
        <v>2292</v>
      </c>
      <c r="E123" s="3">
        <v>46</v>
      </c>
      <c r="F123" s="2" t="s">
        <v>17</v>
      </c>
    </row>
    <row r="124" spans="1:6" ht="15" customHeight="1" x14ac:dyDescent="0.25">
      <c r="A124" s="2" t="s">
        <v>84</v>
      </c>
      <c r="B124" s="2" t="s">
        <v>428</v>
      </c>
      <c r="C124" s="2" t="s">
        <v>475</v>
      </c>
      <c r="D124" s="2" t="s">
        <v>2293</v>
      </c>
      <c r="E124" s="3">
        <v>62</v>
      </c>
      <c r="F124" s="2" t="s">
        <v>17</v>
      </c>
    </row>
    <row r="125" spans="1:6" ht="15" customHeight="1" x14ac:dyDescent="0.25">
      <c r="A125" s="2" t="s">
        <v>84</v>
      </c>
      <c r="B125" s="2" t="s">
        <v>428</v>
      </c>
      <c r="C125" s="2" t="s">
        <v>475</v>
      </c>
      <c r="D125" s="2" t="s">
        <v>2294</v>
      </c>
      <c r="E125" s="3">
        <v>113.26</v>
      </c>
      <c r="F125" s="2" t="s">
        <v>17</v>
      </c>
    </row>
    <row r="126" spans="1:6" ht="15" customHeight="1" x14ac:dyDescent="0.25">
      <c r="A126" s="2" t="s">
        <v>84</v>
      </c>
      <c r="B126" s="2" t="s">
        <v>428</v>
      </c>
      <c r="C126" s="2" t="s">
        <v>475</v>
      </c>
      <c r="D126" s="2" t="s">
        <v>2295</v>
      </c>
      <c r="E126" s="3">
        <v>1.92</v>
      </c>
      <c r="F126" s="2" t="s">
        <v>17</v>
      </c>
    </row>
    <row r="127" spans="1:6" ht="15" customHeight="1" x14ac:dyDescent="0.25">
      <c r="A127" s="2" t="s">
        <v>84</v>
      </c>
      <c r="B127" s="2" t="s">
        <v>428</v>
      </c>
      <c r="C127" s="2" t="s">
        <v>475</v>
      </c>
      <c r="D127" s="2" t="s">
        <v>2296</v>
      </c>
      <c r="E127" s="3">
        <v>62</v>
      </c>
      <c r="F127" s="2" t="s">
        <v>17</v>
      </c>
    </row>
    <row r="128" spans="1:6" ht="15" customHeight="1" x14ac:dyDescent="0.25">
      <c r="A128" s="2" t="s">
        <v>84</v>
      </c>
      <c r="B128" s="2" t="s">
        <v>428</v>
      </c>
      <c r="C128" s="2" t="s">
        <v>475</v>
      </c>
      <c r="D128" s="2" t="s">
        <v>2297</v>
      </c>
      <c r="E128" s="3">
        <v>46</v>
      </c>
      <c r="F128" s="2" t="s">
        <v>17</v>
      </c>
    </row>
    <row r="129" spans="1:6" ht="15" customHeight="1" x14ac:dyDescent="0.25">
      <c r="A129" s="2" t="s">
        <v>84</v>
      </c>
      <c r="B129" s="2" t="s">
        <v>428</v>
      </c>
      <c r="C129" s="2" t="s">
        <v>475</v>
      </c>
      <c r="D129" s="2" t="s">
        <v>2298</v>
      </c>
      <c r="E129" s="3">
        <v>46</v>
      </c>
      <c r="F129" s="2" t="s">
        <v>17</v>
      </c>
    </row>
    <row r="130" spans="1:6" ht="15" customHeight="1" x14ac:dyDescent="0.25">
      <c r="A130" s="2" t="s">
        <v>84</v>
      </c>
      <c r="B130" s="2" t="s">
        <v>428</v>
      </c>
      <c r="C130" s="2" t="s">
        <v>475</v>
      </c>
      <c r="D130" s="2" t="s">
        <v>2299</v>
      </c>
      <c r="E130" s="3">
        <v>47</v>
      </c>
      <c r="F130" s="2" t="s">
        <v>17</v>
      </c>
    </row>
    <row r="131" spans="1:6" ht="15" customHeight="1" x14ac:dyDescent="0.25">
      <c r="A131" s="2" t="s">
        <v>86</v>
      </c>
      <c r="B131" s="2" t="s">
        <v>429</v>
      </c>
      <c r="C131" s="2" t="s">
        <v>475</v>
      </c>
      <c r="D131" s="2" t="s">
        <v>2300</v>
      </c>
      <c r="E131" s="3">
        <v>62.26</v>
      </c>
      <c r="F131" s="2" t="s">
        <v>17</v>
      </c>
    </row>
    <row r="132" spans="1:6" ht="15" customHeight="1" x14ac:dyDescent="0.25">
      <c r="A132" s="2" t="s">
        <v>86</v>
      </c>
      <c r="B132" s="2" t="s">
        <v>432</v>
      </c>
      <c r="C132" s="2" t="s">
        <v>475</v>
      </c>
      <c r="D132" s="2" t="s">
        <v>2301</v>
      </c>
      <c r="E132" s="3">
        <v>400</v>
      </c>
      <c r="F132" s="2" t="s">
        <v>17</v>
      </c>
    </row>
    <row r="133" spans="1:6" ht="15" customHeight="1" x14ac:dyDescent="0.25">
      <c r="A133" s="2" t="s">
        <v>86</v>
      </c>
      <c r="B133" s="2" t="s">
        <v>433</v>
      </c>
      <c r="C133" s="2" t="s">
        <v>475</v>
      </c>
      <c r="D133" s="2" t="s">
        <v>2302</v>
      </c>
      <c r="E133" s="3">
        <v>93</v>
      </c>
      <c r="F133" s="2" t="s">
        <v>17</v>
      </c>
    </row>
    <row r="134" spans="1:6" ht="15" customHeight="1" x14ac:dyDescent="0.25">
      <c r="A134" s="2" t="s">
        <v>86</v>
      </c>
      <c r="B134" s="2" t="s">
        <v>433</v>
      </c>
      <c r="C134" s="2" t="s">
        <v>475</v>
      </c>
      <c r="D134" s="2" t="s">
        <v>2303</v>
      </c>
      <c r="E134" s="3">
        <v>171.54</v>
      </c>
      <c r="F134" s="2" t="s">
        <v>17</v>
      </c>
    </row>
    <row r="135" spans="1:6" ht="15" customHeight="1" x14ac:dyDescent="0.25">
      <c r="A135" s="2" t="s">
        <v>86</v>
      </c>
      <c r="B135" s="2" t="s">
        <v>433</v>
      </c>
      <c r="C135" s="2" t="s">
        <v>475</v>
      </c>
      <c r="D135" s="2" t="s">
        <v>2304</v>
      </c>
      <c r="E135" s="3">
        <v>90</v>
      </c>
      <c r="F135" s="2" t="s">
        <v>17</v>
      </c>
    </row>
    <row r="136" spans="1:6" ht="15" customHeight="1" x14ac:dyDescent="0.25">
      <c r="A136" s="2" t="s">
        <v>86</v>
      </c>
      <c r="B136" s="2" t="s">
        <v>433</v>
      </c>
      <c r="C136" s="2" t="s">
        <v>475</v>
      </c>
      <c r="D136" s="2" t="s">
        <v>2305</v>
      </c>
      <c r="E136" s="3">
        <v>150</v>
      </c>
      <c r="F136" s="2" t="s">
        <v>17</v>
      </c>
    </row>
    <row r="137" spans="1:6" ht="15" customHeight="1" x14ac:dyDescent="0.25">
      <c r="A137" s="2" t="s">
        <v>86</v>
      </c>
      <c r="B137" s="2" t="s">
        <v>434</v>
      </c>
      <c r="C137" s="2" t="s">
        <v>475</v>
      </c>
      <c r="D137" s="2" t="s">
        <v>2306</v>
      </c>
      <c r="E137" s="3">
        <v>63</v>
      </c>
      <c r="F137" s="2" t="s">
        <v>17</v>
      </c>
    </row>
    <row r="138" spans="1:6" ht="15" customHeight="1" x14ac:dyDescent="0.25">
      <c r="A138" s="2" t="s">
        <v>86</v>
      </c>
      <c r="B138" s="2" t="s">
        <v>434</v>
      </c>
      <c r="C138" s="2" t="s">
        <v>475</v>
      </c>
      <c r="D138" s="2" t="s">
        <v>2307</v>
      </c>
      <c r="E138" s="3">
        <v>63</v>
      </c>
      <c r="F138" s="2" t="s">
        <v>17</v>
      </c>
    </row>
    <row r="139" spans="1:6" ht="15" customHeight="1" x14ac:dyDescent="0.25">
      <c r="A139" s="2" t="s">
        <v>86</v>
      </c>
      <c r="B139" s="2" t="s">
        <v>434</v>
      </c>
      <c r="C139" s="2" t="s">
        <v>475</v>
      </c>
      <c r="D139" s="2" t="s">
        <v>2308</v>
      </c>
      <c r="E139" s="3">
        <v>63</v>
      </c>
      <c r="F139" s="2" t="s">
        <v>17</v>
      </c>
    </row>
    <row r="140" spans="1:6" ht="15" customHeight="1" x14ac:dyDescent="0.25">
      <c r="A140" s="2" t="s">
        <v>86</v>
      </c>
      <c r="B140" s="2" t="s">
        <v>434</v>
      </c>
      <c r="C140" s="2" t="s">
        <v>475</v>
      </c>
      <c r="D140" s="2" t="s">
        <v>2309</v>
      </c>
      <c r="E140" s="3">
        <v>47</v>
      </c>
      <c r="F140" s="2" t="s">
        <v>17</v>
      </c>
    </row>
    <row r="141" spans="1:6" ht="15" customHeight="1" x14ac:dyDescent="0.25">
      <c r="A141" s="2" t="s">
        <v>86</v>
      </c>
      <c r="B141" s="2" t="s">
        <v>434</v>
      </c>
      <c r="C141" s="2" t="s">
        <v>475</v>
      </c>
      <c r="D141" s="2" t="s">
        <v>2310</v>
      </c>
      <c r="E141" s="3">
        <v>34.61</v>
      </c>
      <c r="F141" s="2" t="s">
        <v>17</v>
      </c>
    </row>
    <row r="142" spans="1:6" ht="15" customHeight="1" x14ac:dyDescent="0.25">
      <c r="A142" s="2" t="s">
        <v>86</v>
      </c>
      <c r="B142" s="2" t="s">
        <v>434</v>
      </c>
      <c r="C142" s="2" t="s">
        <v>475</v>
      </c>
      <c r="D142" s="2" t="s">
        <v>2311</v>
      </c>
      <c r="E142" s="3">
        <v>31</v>
      </c>
      <c r="F142" s="2" t="s">
        <v>17</v>
      </c>
    </row>
    <row r="143" spans="1:6" ht="15" customHeight="1" x14ac:dyDescent="0.25">
      <c r="A143" s="2" t="s">
        <v>86</v>
      </c>
      <c r="B143" s="2" t="s">
        <v>434</v>
      </c>
      <c r="C143" s="2" t="s">
        <v>475</v>
      </c>
      <c r="D143" s="2" t="s">
        <v>2312</v>
      </c>
      <c r="E143" s="3">
        <v>63.17</v>
      </c>
      <c r="F143" s="2" t="s">
        <v>17</v>
      </c>
    </row>
    <row r="144" spans="1:6" ht="15" customHeight="1" x14ac:dyDescent="0.25">
      <c r="A144" s="2" t="s">
        <v>86</v>
      </c>
      <c r="B144" s="2" t="s">
        <v>437</v>
      </c>
      <c r="C144" s="2" t="s">
        <v>475</v>
      </c>
      <c r="D144" s="2" t="s">
        <v>2313</v>
      </c>
      <c r="E144" s="3">
        <v>31.89</v>
      </c>
      <c r="F144" s="2" t="s">
        <v>17</v>
      </c>
    </row>
    <row r="145" spans="1:6" ht="15" customHeight="1" x14ac:dyDescent="0.25">
      <c r="A145" s="2" t="s">
        <v>86</v>
      </c>
      <c r="B145" s="2" t="s">
        <v>438</v>
      </c>
      <c r="C145" s="2" t="s">
        <v>475</v>
      </c>
      <c r="D145" s="2" t="s">
        <v>2314</v>
      </c>
      <c r="E145" s="3">
        <v>70</v>
      </c>
      <c r="F145" s="2" t="s">
        <v>17</v>
      </c>
    </row>
    <row r="146" spans="1:6" ht="15" customHeight="1" x14ac:dyDescent="0.25">
      <c r="A146" s="2" t="s">
        <v>86</v>
      </c>
      <c r="B146" s="2" t="s">
        <v>438</v>
      </c>
      <c r="C146" s="2" t="s">
        <v>475</v>
      </c>
      <c r="D146" s="2" t="s">
        <v>2315</v>
      </c>
      <c r="E146" s="3">
        <v>60</v>
      </c>
      <c r="F146" s="2" t="s">
        <v>17</v>
      </c>
    </row>
    <row r="147" spans="1:6" ht="15" customHeight="1" x14ac:dyDescent="0.25">
      <c r="A147" s="2" t="s">
        <v>86</v>
      </c>
      <c r="B147" s="2" t="s">
        <v>438</v>
      </c>
      <c r="C147" s="2" t="s">
        <v>475</v>
      </c>
      <c r="D147" s="2" t="s">
        <v>2316</v>
      </c>
      <c r="E147" s="3">
        <v>70</v>
      </c>
      <c r="F147" s="2" t="s">
        <v>17</v>
      </c>
    </row>
    <row r="148" spans="1:6" ht="15" customHeight="1" x14ac:dyDescent="0.25">
      <c r="A148" s="2" t="s">
        <v>86</v>
      </c>
      <c r="B148" s="2" t="s">
        <v>439</v>
      </c>
      <c r="C148" s="2" t="s">
        <v>475</v>
      </c>
      <c r="D148" s="2" t="s">
        <v>2317</v>
      </c>
      <c r="E148" s="3">
        <v>50</v>
      </c>
      <c r="F148" s="2" t="s">
        <v>17</v>
      </c>
    </row>
    <row r="149" spans="1:6" ht="15" customHeight="1" x14ac:dyDescent="0.25">
      <c r="A149" s="2" t="s">
        <v>86</v>
      </c>
      <c r="B149" s="2" t="s">
        <v>439</v>
      </c>
      <c r="C149" s="2" t="s">
        <v>475</v>
      </c>
      <c r="D149" s="2" t="s">
        <v>2318</v>
      </c>
      <c r="E149" s="3">
        <v>80</v>
      </c>
      <c r="F149" s="2" t="s">
        <v>17</v>
      </c>
    </row>
    <row r="150" spans="1:6" ht="15" customHeight="1" x14ac:dyDescent="0.25">
      <c r="A150" s="2" t="s">
        <v>88</v>
      </c>
      <c r="B150" s="2" t="s">
        <v>440</v>
      </c>
      <c r="C150" s="2" t="s">
        <v>475</v>
      </c>
      <c r="D150" s="2" t="s">
        <v>2319</v>
      </c>
      <c r="E150" s="3">
        <v>100</v>
      </c>
      <c r="F150" s="2" t="s">
        <v>17</v>
      </c>
    </row>
    <row r="151" spans="1:6" ht="15" customHeight="1" x14ac:dyDescent="0.25">
      <c r="A151" s="2" t="s">
        <v>88</v>
      </c>
      <c r="B151" s="2" t="s">
        <v>441</v>
      </c>
      <c r="C151" s="2" t="s">
        <v>475</v>
      </c>
      <c r="D151" s="2" t="s">
        <v>2320</v>
      </c>
      <c r="E151" s="3">
        <v>160</v>
      </c>
      <c r="F151" s="2" t="s">
        <v>17</v>
      </c>
    </row>
    <row r="152" spans="1:6" ht="15" customHeight="1" x14ac:dyDescent="0.25">
      <c r="A152" s="2" t="s">
        <v>88</v>
      </c>
      <c r="B152" s="2" t="s">
        <v>442</v>
      </c>
      <c r="C152" s="2" t="s">
        <v>475</v>
      </c>
      <c r="D152" s="2" t="s">
        <v>2321</v>
      </c>
      <c r="E152" s="3">
        <v>150</v>
      </c>
      <c r="F152" s="2" t="s">
        <v>17</v>
      </c>
    </row>
    <row r="153" spans="1:6" ht="15" customHeight="1" x14ac:dyDescent="0.25">
      <c r="A153" s="2" t="s">
        <v>88</v>
      </c>
      <c r="B153" s="2" t="s">
        <v>442</v>
      </c>
      <c r="C153" s="2" t="s">
        <v>475</v>
      </c>
      <c r="D153" s="2" t="s">
        <v>2322</v>
      </c>
      <c r="E153" s="3">
        <v>160</v>
      </c>
      <c r="F153" s="2" t="s">
        <v>17</v>
      </c>
    </row>
    <row r="154" spans="1:6" ht="15" customHeight="1" x14ac:dyDescent="0.25">
      <c r="A154" s="2" t="s">
        <v>88</v>
      </c>
      <c r="B154" s="2" t="s">
        <v>442</v>
      </c>
      <c r="C154" s="2" t="s">
        <v>475</v>
      </c>
      <c r="D154" s="2" t="s">
        <v>2323</v>
      </c>
      <c r="E154" s="3">
        <v>228.62</v>
      </c>
      <c r="F154" s="2" t="s">
        <v>17</v>
      </c>
    </row>
    <row r="155" spans="1:6" ht="15" customHeight="1" x14ac:dyDescent="0.25">
      <c r="A155" s="2" t="s">
        <v>88</v>
      </c>
      <c r="B155" s="2" t="s">
        <v>442</v>
      </c>
      <c r="C155" s="2" t="s">
        <v>475</v>
      </c>
      <c r="D155" s="2" t="s">
        <v>2324</v>
      </c>
      <c r="E155" s="3">
        <v>50.59</v>
      </c>
      <c r="F155" s="2" t="s">
        <v>17</v>
      </c>
    </row>
    <row r="156" spans="1:6" ht="15" customHeight="1" x14ac:dyDescent="0.25">
      <c r="A156" s="2" t="s">
        <v>88</v>
      </c>
      <c r="B156" s="2" t="s">
        <v>442</v>
      </c>
      <c r="C156" s="2" t="s">
        <v>475</v>
      </c>
      <c r="D156" s="2" t="s">
        <v>2325</v>
      </c>
      <c r="E156" s="3">
        <v>60</v>
      </c>
      <c r="F156" s="2" t="s">
        <v>17</v>
      </c>
    </row>
    <row r="157" spans="1:6" ht="15" customHeight="1" x14ac:dyDescent="0.25">
      <c r="A157" s="2" t="s">
        <v>88</v>
      </c>
      <c r="B157" s="2" t="s">
        <v>443</v>
      </c>
      <c r="C157" s="2" t="s">
        <v>475</v>
      </c>
      <c r="D157" s="2" t="s">
        <v>2326</v>
      </c>
      <c r="E157" s="3">
        <v>300</v>
      </c>
      <c r="F157" s="2" t="s">
        <v>17</v>
      </c>
    </row>
    <row r="158" spans="1:6" ht="15" customHeight="1" x14ac:dyDescent="0.25">
      <c r="A158" s="2" t="s">
        <v>88</v>
      </c>
      <c r="B158" s="2" t="s">
        <v>443</v>
      </c>
      <c r="C158" s="2" t="s">
        <v>475</v>
      </c>
      <c r="D158" s="2" t="s">
        <v>2327</v>
      </c>
      <c r="E158" s="3">
        <v>100</v>
      </c>
      <c r="F158" s="2" t="s">
        <v>17</v>
      </c>
    </row>
    <row r="159" spans="1:6" ht="15" customHeight="1" x14ac:dyDescent="0.25">
      <c r="A159" s="2" t="s">
        <v>88</v>
      </c>
      <c r="B159" s="2" t="s">
        <v>443</v>
      </c>
      <c r="C159" s="2" t="s">
        <v>475</v>
      </c>
      <c r="D159" s="2" t="s">
        <v>2328</v>
      </c>
      <c r="E159" s="3">
        <v>118.56</v>
      </c>
      <c r="F159" s="2" t="s">
        <v>17</v>
      </c>
    </row>
    <row r="160" spans="1:6" ht="15" customHeight="1" x14ac:dyDescent="0.25">
      <c r="A160" s="2" t="s">
        <v>88</v>
      </c>
      <c r="B160" s="2" t="s">
        <v>444</v>
      </c>
      <c r="C160" s="2" t="s">
        <v>475</v>
      </c>
      <c r="D160" s="2" t="s">
        <v>2329</v>
      </c>
      <c r="E160" s="3">
        <v>130</v>
      </c>
      <c r="F160" s="2" t="s">
        <v>17</v>
      </c>
    </row>
    <row r="161" spans="1:6" ht="15" customHeight="1" x14ac:dyDescent="0.25">
      <c r="A161" s="2" t="s">
        <v>88</v>
      </c>
      <c r="B161" s="2" t="s">
        <v>444</v>
      </c>
      <c r="C161" s="2" t="s">
        <v>475</v>
      </c>
      <c r="D161" s="2" t="s">
        <v>2330</v>
      </c>
      <c r="E161" s="3">
        <v>100</v>
      </c>
      <c r="F161" s="2" t="s">
        <v>17</v>
      </c>
    </row>
    <row r="162" spans="1:6" ht="15" customHeight="1" x14ac:dyDescent="0.25">
      <c r="A162" s="2" t="s">
        <v>88</v>
      </c>
      <c r="B162" s="2" t="s">
        <v>445</v>
      </c>
      <c r="C162" s="2" t="s">
        <v>475</v>
      </c>
      <c r="D162" s="2" t="s">
        <v>2331</v>
      </c>
      <c r="E162" s="3">
        <v>85.03</v>
      </c>
      <c r="F162" s="2" t="s">
        <v>17</v>
      </c>
    </row>
    <row r="163" spans="1:6" ht="15" customHeight="1" x14ac:dyDescent="0.25">
      <c r="A163" s="2" t="s">
        <v>88</v>
      </c>
      <c r="B163" s="2" t="s">
        <v>447</v>
      </c>
      <c r="C163" s="2" t="s">
        <v>475</v>
      </c>
      <c r="D163" s="2" t="s">
        <v>2332</v>
      </c>
      <c r="E163" s="3">
        <v>100</v>
      </c>
      <c r="F163" s="2" t="s">
        <v>17</v>
      </c>
    </row>
    <row r="164" spans="1:6" ht="15" customHeight="1" x14ac:dyDescent="0.25">
      <c r="A164" s="2" t="s">
        <v>88</v>
      </c>
      <c r="B164" s="2" t="s">
        <v>448</v>
      </c>
      <c r="C164" s="2" t="s">
        <v>475</v>
      </c>
      <c r="D164" s="2" t="s">
        <v>2333</v>
      </c>
      <c r="E164" s="3">
        <v>100</v>
      </c>
      <c r="F164" s="2" t="s">
        <v>17</v>
      </c>
    </row>
    <row r="165" spans="1:6" ht="15" customHeight="1" x14ac:dyDescent="0.25">
      <c r="A165" s="2" t="s">
        <v>90</v>
      </c>
      <c r="B165" s="2" t="s">
        <v>450</v>
      </c>
      <c r="C165" s="2" t="s">
        <v>475</v>
      </c>
      <c r="D165" s="2" t="s">
        <v>2334</v>
      </c>
      <c r="E165" s="3">
        <v>420.04</v>
      </c>
      <c r="F165" s="2" t="s">
        <v>17</v>
      </c>
    </row>
    <row r="166" spans="1:6" ht="15" customHeight="1" x14ac:dyDescent="0.25">
      <c r="A166" s="2" t="s">
        <v>90</v>
      </c>
      <c r="B166" s="2" t="s">
        <v>451</v>
      </c>
      <c r="C166" s="2" t="s">
        <v>475</v>
      </c>
      <c r="D166" s="2" t="s">
        <v>2335</v>
      </c>
      <c r="E166" s="3">
        <v>100</v>
      </c>
      <c r="F166" s="2" t="s">
        <v>17</v>
      </c>
    </row>
    <row r="167" spans="1:6" ht="15" customHeight="1" x14ac:dyDescent="0.25">
      <c r="A167" s="2" t="s">
        <v>90</v>
      </c>
      <c r="B167" s="2" t="s">
        <v>451</v>
      </c>
      <c r="C167" s="2" t="s">
        <v>475</v>
      </c>
      <c r="D167" s="2" t="s">
        <v>2336</v>
      </c>
      <c r="E167" s="3">
        <v>80</v>
      </c>
      <c r="F167" s="2" t="s">
        <v>17</v>
      </c>
    </row>
    <row r="168" spans="1:6" ht="15" customHeight="1" x14ac:dyDescent="0.25">
      <c r="A168" s="2" t="s">
        <v>90</v>
      </c>
      <c r="B168" s="2" t="s">
        <v>451</v>
      </c>
      <c r="C168" s="2" t="s">
        <v>475</v>
      </c>
      <c r="D168" s="2" t="s">
        <v>2337</v>
      </c>
      <c r="E168" s="3">
        <v>120</v>
      </c>
      <c r="F168" s="2" t="s">
        <v>17</v>
      </c>
    </row>
    <row r="169" spans="1:6" ht="15" customHeight="1" x14ac:dyDescent="0.25">
      <c r="A169" s="2" t="s">
        <v>90</v>
      </c>
      <c r="B169" s="2" t="s">
        <v>451</v>
      </c>
      <c r="C169" s="2" t="s">
        <v>475</v>
      </c>
      <c r="D169" s="2" t="s">
        <v>2338</v>
      </c>
      <c r="E169" s="3">
        <v>120</v>
      </c>
      <c r="F169" s="2" t="s">
        <v>17</v>
      </c>
    </row>
    <row r="170" spans="1:6" ht="15" customHeight="1" x14ac:dyDescent="0.25">
      <c r="A170" s="2" t="s">
        <v>90</v>
      </c>
      <c r="B170" s="2" t="s">
        <v>451</v>
      </c>
      <c r="C170" s="2" t="s">
        <v>475</v>
      </c>
      <c r="D170" s="2" t="s">
        <v>2339</v>
      </c>
      <c r="E170" s="3">
        <v>227.38</v>
      </c>
      <c r="F170" s="2" t="s">
        <v>17</v>
      </c>
    </row>
    <row r="171" spans="1:6" ht="15" customHeight="1" x14ac:dyDescent="0.25">
      <c r="A171" s="2" t="s">
        <v>90</v>
      </c>
      <c r="B171" s="2" t="s">
        <v>453</v>
      </c>
      <c r="C171" s="2" t="s">
        <v>475</v>
      </c>
      <c r="D171" s="2" t="s">
        <v>2340</v>
      </c>
      <c r="E171" s="3">
        <v>100</v>
      </c>
      <c r="F171" s="2" t="s">
        <v>17</v>
      </c>
    </row>
    <row r="172" spans="1:6" ht="15" customHeight="1" x14ac:dyDescent="0.25">
      <c r="A172" s="2" t="s">
        <v>90</v>
      </c>
      <c r="B172" s="2" t="s">
        <v>454</v>
      </c>
      <c r="C172" s="2" t="s">
        <v>475</v>
      </c>
      <c r="D172" s="2" t="s">
        <v>2341</v>
      </c>
      <c r="E172" s="3">
        <v>190</v>
      </c>
      <c r="F172" s="2" t="s">
        <v>17</v>
      </c>
    </row>
    <row r="173" spans="1:6" ht="15" customHeight="1" x14ac:dyDescent="0.25">
      <c r="A173" s="2" t="s">
        <v>90</v>
      </c>
      <c r="B173" s="2" t="s">
        <v>454</v>
      </c>
      <c r="C173" s="2" t="s">
        <v>475</v>
      </c>
      <c r="D173" s="2" t="s">
        <v>2342</v>
      </c>
      <c r="E173" s="3">
        <v>80</v>
      </c>
      <c r="F173" s="2" t="s">
        <v>17</v>
      </c>
    </row>
    <row r="174" spans="1:6" ht="15" customHeight="1" x14ac:dyDescent="0.25">
      <c r="A174" s="2" t="s">
        <v>92</v>
      </c>
      <c r="B174" s="2" t="s">
        <v>462</v>
      </c>
      <c r="C174" s="2" t="s">
        <v>475</v>
      </c>
      <c r="D174" s="2" t="s">
        <v>2343</v>
      </c>
      <c r="E174" s="3">
        <v>150</v>
      </c>
      <c r="F174" s="2" t="s">
        <v>17</v>
      </c>
    </row>
    <row r="175" spans="1:6" ht="15" customHeight="1" x14ac:dyDescent="0.25">
      <c r="A175" s="2" t="s">
        <v>94</v>
      </c>
      <c r="B175" s="2" t="s">
        <v>463</v>
      </c>
      <c r="C175" s="2" t="s">
        <v>475</v>
      </c>
      <c r="D175" s="2" t="s">
        <v>2344</v>
      </c>
      <c r="E175" s="3">
        <v>193</v>
      </c>
      <c r="F175" s="2" t="s">
        <v>17</v>
      </c>
    </row>
    <row r="176" spans="1:6" ht="15" customHeight="1" x14ac:dyDescent="0.25">
      <c r="A176" s="2" t="s">
        <v>94</v>
      </c>
      <c r="B176" s="2" t="s">
        <v>463</v>
      </c>
      <c r="C176" s="2" t="s">
        <v>475</v>
      </c>
      <c r="D176" s="2" t="s">
        <v>2345</v>
      </c>
      <c r="E176" s="3">
        <v>97</v>
      </c>
      <c r="F176" s="2" t="s">
        <v>17</v>
      </c>
    </row>
    <row r="177" spans="1:6" ht="15" customHeight="1" x14ac:dyDescent="0.25">
      <c r="A177" s="2" t="s">
        <v>94</v>
      </c>
      <c r="B177" s="2" t="s">
        <v>463</v>
      </c>
      <c r="C177" s="2" t="s">
        <v>475</v>
      </c>
      <c r="D177" s="2" t="s">
        <v>2346</v>
      </c>
      <c r="E177" s="3">
        <v>136</v>
      </c>
      <c r="F177" s="2" t="s">
        <v>17</v>
      </c>
    </row>
    <row r="178" spans="1:6" ht="15" customHeight="1" x14ac:dyDescent="0.25">
      <c r="A178" s="2" t="s">
        <v>94</v>
      </c>
      <c r="B178" s="2" t="s">
        <v>463</v>
      </c>
      <c r="C178" s="2" t="s">
        <v>475</v>
      </c>
      <c r="D178" s="2" t="s">
        <v>2347</v>
      </c>
      <c r="E178" s="3">
        <v>97</v>
      </c>
      <c r="F178" s="2" t="s">
        <v>17</v>
      </c>
    </row>
    <row r="179" spans="1:6" ht="15" customHeight="1" x14ac:dyDescent="0.25">
      <c r="A179" s="2" t="s">
        <v>94</v>
      </c>
      <c r="B179" s="2" t="s">
        <v>463</v>
      </c>
      <c r="C179" s="2" t="s">
        <v>475</v>
      </c>
      <c r="D179" s="2" t="s">
        <v>2348</v>
      </c>
      <c r="E179" s="3">
        <v>20</v>
      </c>
      <c r="F179" s="2" t="s">
        <v>17</v>
      </c>
    </row>
    <row r="180" spans="1:6" ht="15" customHeight="1" x14ac:dyDescent="0.25">
      <c r="A180" s="2" t="s">
        <v>94</v>
      </c>
      <c r="B180" s="2" t="s">
        <v>463</v>
      </c>
      <c r="C180" s="2" t="s">
        <v>475</v>
      </c>
      <c r="D180" s="2" t="s">
        <v>2349</v>
      </c>
      <c r="E180" s="3">
        <v>140</v>
      </c>
      <c r="F180" s="2" t="s">
        <v>17</v>
      </c>
    </row>
    <row r="181" spans="1:6" ht="15" customHeight="1" x14ac:dyDescent="0.25">
      <c r="A181" s="2" t="s">
        <v>94</v>
      </c>
      <c r="B181" s="2" t="s">
        <v>463</v>
      </c>
      <c r="C181" s="2" t="s">
        <v>475</v>
      </c>
      <c r="D181" s="2" t="s">
        <v>2350</v>
      </c>
      <c r="E181" s="3">
        <v>97</v>
      </c>
      <c r="F181" s="2" t="s">
        <v>17</v>
      </c>
    </row>
    <row r="182" spans="1:6" ht="15" customHeight="1" x14ac:dyDescent="0.25">
      <c r="A182" s="2" t="s">
        <v>94</v>
      </c>
      <c r="B182" s="2" t="s">
        <v>463</v>
      </c>
      <c r="C182" s="2" t="s">
        <v>475</v>
      </c>
      <c r="D182" s="2" t="s">
        <v>2351</v>
      </c>
      <c r="E182" s="3">
        <v>97</v>
      </c>
      <c r="F182" s="2" t="s">
        <v>17</v>
      </c>
    </row>
    <row r="183" spans="1:6" ht="15" customHeight="1" x14ac:dyDescent="0.25">
      <c r="A183" s="2" t="s">
        <v>94</v>
      </c>
      <c r="B183" s="2" t="s">
        <v>464</v>
      </c>
      <c r="C183" s="2" t="s">
        <v>475</v>
      </c>
      <c r="D183" s="2" t="s">
        <v>2352</v>
      </c>
      <c r="E183" s="3">
        <v>250</v>
      </c>
      <c r="F183" s="2" t="s">
        <v>17</v>
      </c>
    </row>
    <row r="184" spans="1:6" ht="15" customHeight="1" x14ac:dyDescent="0.25">
      <c r="A184" s="2" t="s">
        <v>94</v>
      </c>
      <c r="B184" s="2" t="s">
        <v>464</v>
      </c>
      <c r="C184" s="2" t="s">
        <v>475</v>
      </c>
      <c r="D184" s="2" t="s">
        <v>2353</v>
      </c>
      <c r="E184" s="3">
        <v>154.18</v>
      </c>
      <c r="F184" s="2" t="s">
        <v>17</v>
      </c>
    </row>
    <row r="185" spans="1:6" ht="15" customHeight="1" x14ac:dyDescent="0.25">
      <c r="A185" s="2" t="s">
        <v>94</v>
      </c>
      <c r="B185" s="2" t="s">
        <v>464</v>
      </c>
      <c r="C185" s="2" t="s">
        <v>475</v>
      </c>
      <c r="D185" s="2" t="s">
        <v>2354</v>
      </c>
      <c r="E185" s="3">
        <v>100</v>
      </c>
      <c r="F185" s="2" t="s">
        <v>17</v>
      </c>
    </row>
    <row r="186" spans="1:6" ht="15" customHeight="1" x14ac:dyDescent="0.25">
      <c r="A186" s="2" t="s">
        <v>94</v>
      </c>
      <c r="B186" s="2" t="s">
        <v>466</v>
      </c>
      <c r="C186" s="2" t="s">
        <v>475</v>
      </c>
      <c r="D186" s="2" t="s">
        <v>2355</v>
      </c>
      <c r="E186" s="3">
        <v>187.56</v>
      </c>
      <c r="F186" s="2" t="s">
        <v>17</v>
      </c>
    </row>
    <row r="187" spans="1:6" ht="15" customHeight="1" x14ac:dyDescent="0.25">
      <c r="A187" s="2" t="s">
        <v>94</v>
      </c>
      <c r="B187" s="2" t="s">
        <v>466</v>
      </c>
      <c r="C187" s="2" t="s">
        <v>475</v>
      </c>
      <c r="D187" s="2" t="s">
        <v>2356</v>
      </c>
      <c r="E187" s="3">
        <v>56</v>
      </c>
      <c r="F187" s="2" t="s">
        <v>17</v>
      </c>
    </row>
    <row r="188" spans="1:6" ht="15" customHeight="1" x14ac:dyDescent="0.25">
      <c r="A188" s="2" t="s">
        <v>94</v>
      </c>
      <c r="B188" s="2" t="s">
        <v>466</v>
      </c>
      <c r="C188" s="2" t="s">
        <v>475</v>
      </c>
      <c r="D188" s="2" t="s">
        <v>2357</v>
      </c>
      <c r="E188" s="3">
        <v>56.44</v>
      </c>
      <c r="F188" s="2" t="s">
        <v>17</v>
      </c>
    </row>
    <row r="189" spans="1:6" ht="15" customHeight="1" x14ac:dyDescent="0.25">
      <c r="A189" s="2" t="s">
        <v>94</v>
      </c>
      <c r="B189" s="2" t="s">
        <v>466</v>
      </c>
      <c r="C189" s="2" t="s">
        <v>475</v>
      </c>
      <c r="D189" s="2" t="s">
        <v>2358</v>
      </c>
      <c r="E189" s="3">
        <v>93</v>
      </c>
      <c r="F189" s="2" t="s">
        <v>17</v>
      </c>
    </row>
    <row r="190" spans="1:6" ht="15" customHeight="1" x14ac:dyDescent="0.25">
      <c r="A190" s="2" t="s">
        <v>94</v>
      </c>
      <c r="B190" s="2" t="s">
        <v>466</v>
      </c>
      <c r="C190" s="2" t="s">
        <v>475</v>
      </c>
      <c r="D190" s="2" t="s">
        <v>2359</v>
      </c>
      <c r="E190" s="3">
        <v>56</v>
      </c>
      <c r="F190" s="2" t="s">
        <v>17</v>
      </c>
    </row>
    <row r="191" spans="1:6" ht="15" customHeight="1" x14ac:dyDescent="0.25">
      <c r="A191" s="2" t="s">
        <v>94</v>
      </c>
      <c r="B191" s="2" t="s">
        <v>466</v>
      </c>
      <c r="C191" s="2" t="s">
        <v>475</v>
      </c>
      <c r="D191" s="2" t="s">
        <v>2360</v>
      </c>
      <c r="E191" s="3">
        <v>74</v>
      </c>
      <c r="F191" s="2" t="s">
        <v>17</v>
      </c>
    </row>
    <row r="192" spans="1:6" ht="15" customHeight="1" x14ac:dyDescent="0.25">
      <c r="A192" s="2" t="s">
        <v>94</v>
      </c>
      <c r="B192" s="2" t="s">
        <v>466</v>
      </c>
      <c r="C192" s="2" t="s">
        <v>475</v>
      </c>
      <c r="D192" s="2" t="s">
        <v>2361</v>
      </c>
      <c r="E192" s="3">
        <v>37</v>
      </c>
      <c r="F192" s="2" t="s">
        <v>17</v>
      </c>
    </row>
    <row r="193" spans="1:6" ht="15" customHeight="1" x14ac:dyDescent="0.25">
      <c r="A193" s="2" t="s">
        <v>94</v>
      </c>
      <c r="B193" s="2" t="s">
        <v>466</v>
      </c>
      <c r="C193" s="2" t="s">
        <v>475</v>
      </c>
      <c r="D193" s="2" t="s">
        <v>2362</v>
      </c>
      <c r="E193" s="3">
        <v>37</v>
      </c>
      <c r="F193" s="2" t="s">
        <v>17</v>
      </c>
    </row>
    <row r="194" spans="1:6" ht="15" customHeight="1" x14ac:dyDescent="0.25">
      <c r="A194" s="2" t="s">
        <v>94</v>
      </c>
      <c r="B194" s="2" t="s">
        <v>466</v>
      </c>
      <c r="C194" s="2" t="s">
        <v>475</v>
      </c>
      <c r="D194" s="2" t="s">
        <v>2363</v>
      </c>
      <c r="E194" s="3">
        <v>18</v>
      </c>
      <c r="F194" s="2" t="s">
        <v>17</v>
      </c>
    </row>
    <row r="195" spans="1:6" ht="15" customHeight="1" x14ac:dyDescent="0.25">
      <c r="A195" s="2" t="s">
        <v>94</v>
      </c>
      <c r="B195" s="2" t="s">
        <v>466</v>
      </c>
      <c r="C195" s="2" t="s">
        <v>475</v>
      </c>
      <c r="D195" s="2" t="s">
        <v>2364</v>
      </c>
      <c r="E195" s="3">
        <v>56</v>
      </c>
      <c r="F195" s="2" t="s">
        <v>17</v>
      </c>
    </row>
    <row r="196" spans="1:6" ht="15" customHeight="1" x14ac:dyDescent="0.25">
      <c r="A196" s="2" t="s">
        <v>94</v>
      </c>
      <c r="B196" s="2" t="s">
        <v>466</v>
      </c>
      <c r="C196" s="2" t="s">
        <v>475</v>
      </c>
      <c r="D196" s="2" t="s">
        <v>2365</v>
      </c>
      <c r="E196" s="3">
        <v>56</v>
      </c>
      <c r="F196" s="2" t="s">
        <v>17</v>
      </c>
    </row>
    <row r="197" spans="1:6" ht="15" customHeight="1" x14ac:dyDescent="0.25">
      <c r="A197" s="2" t="s">
        <v>94</v>
      </c>
      <c r="B197" s="2" t="s">
        <v>466</v>
      </c>
      <c r="C197" s="2" t="s">
        <v>475</v>
      </c>
      <c r="D197" s="2" t="s">
        <v>2366</v>
      </c>
      <c r="E197" s="3">
        <v>37</v>
      </c>
      <c r="F197" s="2" t="s">
        <v>17</v>
      </c>
    </row>
    <row r="198" spans="1:6" ht="15" customHeight="1" x14ac:dyDescent="0.25">
      <c r="A198" s="2" t="s">
        <v>94</v>
      </c>
      <c r="B198" s="2" t="s">
        <v>466</v>
      </c>
      <c r="C198" s="2" t="s">
        <v>475</v>
      </c>
      <c r="D198" s="2" t="s">
        <v>2367</v>
      </c>
      <c r="E198" s="3">
        <v>74</v>
      </c>
      <c r="F198" s="2" t="s">
        <v>17</v>
      </c>
    </row>
    <row r="199" spans="1:6" ht="15" customHeight="1" x14ac:dyDescent="0.25">
      <c r="A199" s="2" t="s">
        <v>94</v>
      </c>
      <c r="B199" s="2" t="s">
        <v>466</v>
      </c>
      <c r="C199" s="2" t="s">
        <v>475</v>
      </c>
      <c r="D199" s="2" t="s">
        <v>2368</v>
      </c>
      <c r="E199" s="3">
        <v>60</v>
      </c>
      <c r="F199" s="2" t="s">
        <v>17</v>
      </c>
    </row>
    <row r="200" spans="1:6" ht="15" customHeight="1" x14ac:dyDescent="0.25">
      <c r="A200" s="2" t="s">
        <v>94</v>
      </c>
      <c r="B200" s="2" t="s">
        <v>466</v>
      </c>
      <c r="C200" s="2" t="s">
        <v>475</v>
      </c>
      <c r="D200" s="2" t="s">
        <v>2369</v>
      </c>
      <c r="E200" s="3">
        <v>93</v>
      </c>
      <c r="F200" s="2" t="s">
        <v>17</v>
      </c>
    </row>
    <row r="201" spans="1:6" ht="15" customHeight="1" x14ac:dyDescent="0.25">
      <c r="A201" s="2" t="s">
        <v>94</v>
      </c>
      <c r="B201" s="2" t="s">
        <v>466</v>
      </c>
      <c r="C201" s="2" t="s">
        <v>475</v>
      </c>
      <c r="D201" s="2" t="s">
        <v>2370</v>
      </c>
      <c r="E201" s="3">
        <v>93</v>
      </c>
      <c r="F201" s="2" t="s">
        <v>17</v>
      </c>
    </row>
    <row r="202" spans="1:6" ht="15" customHeight="1" x14ac:dyDescent="0.25">
      <c r="A202" s="2" t="s">
        <v>94</v>
      </c>
      <c r="B202" s="2" t="s">
        <v>467</v>
      </c>
      <c r="C202" s="2" t="s">
        <v>475</v>
      </c>
      <c r="D202" s="2" t="s">
        <v>2371</v>
      </c>
      <c r="E202" s="3">
        <v>156</v>
      </c>
      <c r="F202" s="2" t="s">
        <v>17</v>
      </c>
    </row>
  </sheetData>
  <autoFilter ref="A1:F202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20" customWidth="1"/>
    <col min="3" max="3" width="26" customWidth="1"/>
    <col min="4" max="4" width="24" customWidth="1"/>
    <col min="5" max="5" width="22" customWidth="1"/>
    <col min="6" max="6" width="24" customWidth="1"/>
    <col min="7" max="7" width="60" customWidth="1"/>
  </cols>
  <sheetData>
    <row r="1" spans="1:7" ht="15" customHeight="1" x14ac:dyDescent="0.25">
      <c r="A1" s="1" t="s">
        <v>0</v>
      </c>
      <c r="B1" s="1" t="s">
        <v>2372</v>
      </c>
      <c r="C1" s="1" t="s">
        <v>2373</v>
      </c>
      <c r="D1" s="1" t="s">
        <v>2374</v>
      </c>
      <c r="E1" s="1" t="s">
        <v>2375</v>
      </c>
      <c r="F1" s="1" t="s">
        <v>2376</v>
      </c>
      <c r="G1" s="1" t="s">
        <v>2377</v>
      </c>
    </row>
    <row r="2" spans="1:7" ht="15" customHeight="1" x14ac:dyDescent="0.25">
      <c r="A2" s="2" t="s">
        <v>15</v>
      </c>
      <c r="B2" s="3">
        <f>ROUND(Summary!D2+Summary!E2-Summary!F2+Summary!G2+Summary!H2-Summary!I2,2)</f>
        <v>0</v>
      </c>
      <c r="C2" s="3">
        <f>ROUND(SUMIFS(Transactions!I:I,Transactions!A:A,A2)-Summary!G2,2)</f>
        <v>0</v>
      </c>
      <c r="D2" s="3">
        <f>ROUND(SUMIFS(Income!F:F,Income!A:A,A2,Income!C:C,"Dividends")-Summary!L2,2)</f>
        <v>0</v>
      </c>
      <c r="E2" s="3">
        <f>ROUND(SUMIFS(Holdings!F:F,Holdings!A:A,A2,Holdings!B:B,"&lt;&gt;*Cash")-Summary!J2,2)</f>
        <v>0</v>
      </c>
      <c r="F2" s="3"/>
      <c r="G2" s="2" t="s">
        <v>2378</v>
      </c>
    </row>
    <row r="3" spans="1:7" ht="15" customHeight="1" x14ac:dyDescent="0.25">
      <c r="A3" s="2" t="s">
        <v>18</v>
      </c>
      <c r="B3" s="3">
        <f>ROUND(Summary!D3+Summary!E3-Summary!F3+Summary!G3+Summary!H3-Summary!I3,2)</f>
        <v>0</v>
      </c>
      <c r="C3" s="3">
        <f>ROUND(SUMIFS(Transactions!I:I,Transactions!A:A,A3)-Summary!G3,2)</f>
        <v>0</v>
      </c>
      <c r="D3" s="3">
        <f>ROUND(SUMIFS(Income!F:F,Income!A:A,A3,Income!C:C,"Dividends")-Summary!L3,2)</f>
        <v>0</v>
      </c>
      <c r="E3" s="3">
        <f>ROUND(SUMIFS(Holdings!F:F,Holdings!A:A,A3,Holdings!B:B,"&lt;&gt;*Cash")-Summary!J3,2)</f>
        <v>0</v>
      </c>
      <c r="F3" s="3">
        <f>ROUND(Summary!I2-Summary!D3,2)</f>
        <v>0</v>
      </c>
      <c r="G3" s="2" t="s">
        <v>2378</v>
      </c>
    </row>
    <row r="4" spans="1:7" ht="15" customHeight="1" x14ac:dyDescent="0.25">
      <c r="A4" s="2" t="s">
        <v>20</v>
      </c>
      <c r="B4" s="3">
        <f>ROUND(Summary!D4+Summary!E4-Summary!F4+Summary!G4+Summary!H4-Summary!I4,2)</f>
        <v>0</v>
      </c>
      <c r="C4" s="3">
        <f>ROUND(SUMIFS(Transactions!I:I,Transactions!A:A,A4)-Summary!G4,2)</f>
        <v>0</v>
      </c>
      <c r="D4" s="3">
        <f>ROUND(SUMIFS(Income!F:F,Income!A:A,A4,Income!C:C,"Dividends")-Summary!L4,2)</f>
        <v>0</v>
      </c>
      <c r="E4" s="3">
        <f>ROUND(SUMIFS(Holdings!F:F,Holdings!A:A,A4,Holdings!B:B,"&lt;&gt;*Cash")-Summary!J4,2)</f>
        <v>0</v>
      </c>
      <c r="F4" s="3">
        <f>ROUND(Summary!I3-Summary!D4,2)</f>
        <v>0</v>
      </c>
      <c r="G4" s="2" t="s">
        <v>2378</v>
      </c>
    </row>
    <row r="5" spans="1:7" ht="15" customHeight="1" x14ac:dyDescent="0.25">
      <c r="A5" s="2" t="s">
        <v>22</v>
      </c>
      <c r="B5" s="3">
        <f>ROUND(Summary!D5+Summary!E5-Summary!F5+Summary!G5+Summary!H5-Summary!I5,2)</f>
        <v>0</v>
      </c>
      <c r="C5" s="3">
        <f>ROUND(SUMIFS(Transactions!I:I,Transactions!A:A,A5)-Summary!G5,2)</f>
        <v>0</v>
      </c>
      <c r="D5" s="3">
        <f>ROUND(SUMIFS(Income!F:F,Income!A:A,A5,Income!C:C,"Dividends")-Summary!L5,2)</f>
        <v>0</v>
      </c>
      <c r="E5" s="3">
        <f>ROUND(SUMIFS(Holdings!F:F,Holdings!A:A,A5,Holdings!B:B,"&lt;&gt;*Cash")-Summary!J5,2)</f>
        <v>0</v>
      </c>
      <c r="F5" s="3">
        <f>ROUND(Summary!I4-Summary!D5,2)</f>
        <v>0</v>
      </c>
      <c r="G5" s="2" t="s">
        <v>2378</v>
      </c>
    </row>
    <row r="6" spans="1:7" ht="15" customHeight="1" x14ac:dyDescent="0.25">
      <c r="A6" s="2" t="s">
        <v>24</v>
      </c>
      <c r="B6" s="3">
        <f>ROUND(Summary!D6+Summary!E6-Summary!F6+Summary!G6+Summary!H6-Summary!I6,2)</f>
        <v>0</v>
      </c>
      <c r="C6" s="3">
        <f>ROUND(SUMIFS(Transactions!I:I,Transactions!A:A,A6)-Summary!G6,2)</f>
        <v>0</v>
      </c>
      <c r="D6" s="3">
        <f>ROUND(SUMIFS(Income!F:F,Income!A:A,A6,Income!C:C,"Dividends")-Summary!L6,2)</f>
        <v>0</v>
      </c>
      <c r="E6" s="3">
        <f>ROUND(SUMIFS(Holdings!F:F,Holdings!A:A,A6,Holdings!B:B,"&lt;&gt;*Cash")-Summary!J6,2)</f>
        <v>0</v>
      </c>
      <c r="F6" s="3">
        <f>ROUND(Summary!I5-Summary!D6,2)</f>
        <v>0</v>
      </c>
      <c r="G6" s="2" t="s">
        <v>2378</v>
      </c>
    </row>
    <row r="7" spans="1:7" ht="15" customHeight="1" x14ac:dyDescent="0.25">
      <c r="A7" s="2" t="s">
        <v>26</v>
      </c>
      <c r="B7" s="3">
        <f>ROUND(Summary!D7+Summary!E7-Summary!F7+Summary!G7+Summary!H7-Summary!I7,2)</f>
        <v>0</v>
      </c>
      <c r="C7" s="3">
        <f>ROUND(SUMIFS(Transactions!I:I,Transactions!A:A,A7)-Summary!G7,2)</f>
        <v>0</v>
      </c>
      <c r="D7" s="3">
        <f>ROUND(SUMIFS(Income!F:F,Income!A:A,A7,Income!C:C,"Dividends")-Summary!L7,2)</f>
        <v>0</v>
      </c>
      <c r="E7" s="3">
        <f>ROUND(SUMIFS(Holdings!F:F,Holdings!A:A,A7,Holdings!B:B,"&lt;&gt;*Cash")-Summary!J7,2)</f>
        <v>0</v>
      </c>
      <c r="F7" s="3">
        <f>ROUND(Summary!I6-Summary!D7,2)</f>
        <v>0</v>
      </c>
      <c r="G7" s="2" t="s">
        <v>2378</v>
      </c>
    </row>
    <row r="8" spans="1:7" ht="15" customHeight="1" x14ac:dyDescent="0.25">
      <c r="A8" s="2" t="s">
        <v>28</v>
      </c>
      <c r="B8" s="3">
        <f>ROUND(Summary!D8+Summary!E8-Summary!F8+Summary!G8+Summary!H8-Summary!I8,2)</f>
        <v>0</v>
      </c>
      <c r="C8" s="3">
        <f>ROUND(SUMIFS(Transactions!I:I,Transactions!A:A,A8)-Summary!G8,2)</f>
        <v>0</v>
      </c>
      <c r="D8" s="3">
        <f>ROUND(SUMIFS(Income!F:F,Income!A:A,A8,Income!C:C,"Dividends")-Summary!L8,2)</f>
        <v>0</v>
      </c>
      <c r="E8" s="3">
        <f>ROUND(SUMIFS(Holdings!F:F,Holdings!A:A,A8,Holdings!B:B,"&lt;&gt;*Cash")-Summary!J8,2)</f>
        <v>-0.01</v>
      </c>
      <c r="F8" s="3">
        <f>ROUND(Summary!I7-Summary!D8,2)</f>
        <v>0</v>
      </c>
      <c r="G8" s="2" t="s">
        <v>2378</v>
      </c>
    </row>
    <row r="9" spans="1:7" ht="15" customHeight="1" x14ac:dyDescent="0.25">
      <c r="A9" s="2" t="s">
        <v>30</v>
      </c>
      <c r="B9" s="3">
        <f>ROUND(Summary!D9+Summary!E9-Summary!F9+Summary!G9+Summary!H9-Summary!I9,2)</f>
        <v>0</v>
      </c>
      <c r="C9" s="3">
        <f>ROUND(SUMIFS(Transactions!I:I,Transactions!A:A,A9)-Summary!G9,2)</f>
        <v>0</v>
      </c>
      <c r="D9" s="3">
        <f>ROUND(SUMIFS(Income!F:F,Income!A:A,A9,Income!C:C,"Dividends")-Summary!L9,2)</f>
        <v>0</v>
      </c>
      <c r="E9" s="3">
        <f>ROUND(SUMIFS(Holdings!F:F,Holdings!A:A,A9,Holdings!B:B,"&lt;&gt;*Cash")-Summary!J9,2)</f>
        <v>0.01</v>
      </c>
      <c r="F9" s="3">
        <f>ROUND(Summary!I8-Summary!D9,2)</f>
        <v>0</v>
      </c>
      <c r="G9" s="2" t="s">
        <v>2378</v>
      </c>
    </row>
    <row r="10" spans="1:7" ht="15" customHeight="1" x14ac:dyDescent="0.25">
      <c r="A10" s="2" t="s">
        <v>32</v>
      </c>
      <c r="B10" s="3">
        <f>ROUND(Summary!D10+Summary!E10-Summary!F10+Summary!G10+Summary!H10-Summary!I10,2)</f>
        <v>0</v>
      </c>
      <c r="C10" s="3">
        <f>ROUND(SUMIFS(Transactions!I:I,Transactions!A:A,A10)-Summary!G10,2)</f>
        <v>0</v>
      </c>
      <c r="D10" s="3">
        <f>ROUND(SUMIFS(Income!F:F,Income!A:A,A10,Income!C:C,"Dividends")-Summary!L10,2)</f>
        <v>0</v>
      </c>
      <c r="E10" s="3">
        <f>ROUND(SUMIFS(Holdings!F:F,Holdings!A:A,A10,Holdings!B:B,"&lt;&gt;*Cash")-Summary!J10,2)</f>
        <v>0</v>
      </c>
      <c r="F10" s="3">
        <f>ROUND(Summary!I9-Summary!D10,2)</f>
        <v>0</v>
      </c>
      <c r="G10" s="2" t="s">
        <v>2378</v>
      </c>
    </row>
    <row r="11" spans="1:7" ht="15" customHeight="1" x14ac:dyDescent="0.25">
      <c r="A11" s="2" t="s">
        <v>34</v>
      </c>
      <c r="B11" s="3">
        <f>ROUND(Summary!D11+Summary!E11-Summary!F11+Summary!G11+Summary!H11-Summary!I11,2)</f>
        <v>0</v>
      </c>
      <c r="C11" s="3">
        <f>ROUND(SUMIFS(Transactions!I:I,Transactions!A:A,A11)-Summary!G11,2)</f>
        <v>0</v>
      </c>
      <c r="D11" s="3">
        <f>ROUND(SUMIFS(Income!F:F,Income!A:A,A11,Income!C:C,"Dividends")-Summary!L11,2)</f>
        <v>0</v>
      </c>
      <c r="E11" s="3">
        <f>ROUND(SUMIFS(Holdings!F:F,Holdings!A:A,A11,Holdings!B:B,"&lt;&gt;*Cash")-Summary!J11,2)</f>
        <v>0.01</v>
      </c>
      <c r="F11" s="3">
        <f>ROUND(Summary!I10-Summary!D11,2)</f>
        <v>0</v>
      </c>
      <c r="G11" s="2" t="s">
        <v>2378</v>
      </c>
    </row>
    <row r="12" spans="1:7" ht="15" customHeight="1" x14ac:dyDescent="0.25">
      <c r="A12" s="2" t="s">
        <v>36</v>
      </c>
      <c r="B12" s="3">
        <f>ROUND(Summary!D12+Summary!E12-Summary!F12+Summary!G12+Summary!H12-Summary!I12,2)</f>
        <v>0</v>
      </c>
      <c r="C12" s="3">
        <f>ROUND(SUMIFS(Transactions!I:I,Transactions!A:A,A12)-Summary!G12,2)</f>
        <v>0</v>
      </c>
      <c r="D12" s="3">
        <f>ROUND(SUMIFS(Income!F:F,Income!A:A,A12,Income!C:C,"Dividends")-Summary!L12,2)</f>
        <v>0</v>
      </c>
      <c r="E12" s="3">
        <f>ROUND(SUMIFS(Holdings!F:F,Holdings!A:A,A12,Holdings!B:B,"&lt;&gt;*Cash")-Summary!J12,2)</f>
        <v>0</v>
      </c>
      <c r="F12" s="3">
        <f>ROUND(Summary!I11-Summary!D12,2)</f>
        <v>0</v>
      </c>
      <c r="G12" s="2" t="s">
        <v>2378</v>
      </c>
    </row>
    <row r="13" spans="1:7" ht="15" customHeight="1" x14ac:dyDescent="0.25">
      <c r="A13" s="2" t="s">
        <v>38</v>
      </c>
      <c r="B13" s="3">
        <f>ROUND(Summary!D13+Summary!E13-Summary!F13+Summary!G13+Summary!H13-Summary!I13,2)</f>
        <v>0</v>
      </c>
      <c r="C13" s="3">
        <f>ROUND(SUMIFS(Transactions!I:I,Transactions!A:A,A13)-Summary!G13,2)</f>
        <v>0</v>
      </c>
      <c r="D13" s="3">
        <f>ROUND(SUMIFS(Income!F:F,Income!A:A,A13,Income!C:C,"Dividends")-Summary!L13,2)</f>
        <v>0</v>
      </c>
      <c r="E13" s="3">
        <f>ROUND(SUMIFS(Holdings!F:F,Holdings!A:A,A13,Holdings!B:B,"&lt;&gt;*Cash")-Summary!J13,2)</f>
        <v>0</v>
      </c>
      <c r="F13" s="3">
        <f>ROUND(Summary!I12-Summary!D13,2)</f>
        <v>0</v>
      </c>
      <c r="G13" s="2" t="s">
        <v>2378</v>
      </c>
    </row>
    <row r="14" spans="1:7" ht="15" customHeight="1" x14ac:dyDescent="0.25">
      <c r="A14" s="2" t="s">
        <v>40</v>
      </c>
      <c r="B14" s="3">
        <f>ROUND(Summary!D14+Summary!E14-Summary!F14+Summary!G14+Summary!H14-Summary!I14,2)</f>
        <v>0</v>
      </c>
      <c r="C14" s="3">
        <f>ROUND(SUMIFS(Transactions!I:I,Transactions!A:A,A14)-Summary!G14,2)</f>
        <v>0</v>
      </c>
      <c r="D14" s="3">
        <f>ROUND(SUMIFS(Income!F:F,Income!A:A,A14,Income!C:C,"Dividends")-Summary!L14,2)</f>
        <v>0</v>
      </c>
      <c r="E14" s="3">
        <f>ROUND(SUMIFS(Holdings!F:F,Holdings!A:A,A14,Holdings!B:B,"&lt;&gt;*Cash")-Summary!J14,2)</f>
        <v>0</v>
      </c>
      <c r="F14" s="3">
        <f>ROUND(Summary!I13-Summary!D14,2)</f>
        <v>0</v>
      </c>
      <c r="G14" s="2" t="s">
        <v>2378</v>
      </c>
    </row>
    <row r="15" spans="1:7" ht="15" customHeight="1" x14ac:dyDescent="0.25">
      <c r="A15" s="2" t="s">
        <v>42</v>
      </c>
      <c r="B15" s="3">
        <f>ROUND(Summary!D15+Summary!E15-Summary!F15+Summary!G15+Summary!H15-Summary!I15,2)</f>
        <v>0</v>
      </c>
      <c r="C15" s="3">
        <f>ROUND(SUMIFS(Transactions!I:I,Transactions!A:A,A15)-Summary!G15,2)</f>
        <v>0</v>
      </c>
      <c r="D15" s="3">
        <f>ROUND(SUMIFS(Income!F:F,Income!A:A,A15,Income!C:C,"Dividends")-Summary!L15,2)</f>
        <v>0</v>
      </c>
      <c r="E15" s="3">
        <f>ROUND(SUMIFS(Holdings!F:F,Holdings!A:A,A15,Holdings!B:B,"&lt;&gt;*Cash")-Summary!J15,2)</f>
        <v>0</v>
      </c>
      <c r="F15" s="3">
        <f>ROUND(Summary!I14-Summary!D15,2)</f>
        <v>0</v>
      </c>
      <c r="G15" s="2" t="s">
        <v>2378</v>
      </c>
    </row>
    <row r="16" spans="1:7" ht="15" customHeight="1" x14ac:dyDescent="0.25">
      <c r="A16" s="2" t="s">
        <v>44</v>
      </c>
      <c r="B16" s="3">
        <f>ROUND(Summary!D16+Summary!E16-Summary!F16+Summary!G16+Summary!H16-Summary!I16,2)</f>
        <v>0</v>
      </c>
      <c r="C16" s="3">
        <f>ROUND(SUMIFS(Transactions!I:I,Transactions!A:A,A16)-Summary!G16,2)</f>
        <v>0</v>
      </c>
      <c r="D16" s="3">
        <f>ROUND(SUMIFS(Income!F:F,Income!A:A,A16,Income!C:C,"Dividends")-Summary!L16,2)</f>
        <v>0</v>
      </c>
      <c r="E16" s="3">
        <f>ROUND(SUMIFS(Holdings!F:F,Holdings!A:A,A16,Holdings!B:B,"&lt;&gt;*Cash")-Summary!J16,2)</f>
        <v>0</v>
      </c>
      <c r="F16" s="3">
        <f>ROUND(Summary!I15-Summary!D16,2)</f>
        <v>0</v>
      </c>
      <c r="G16" s="2" t="s">
        <v>2378</v>
      </c>
    </row>
    <row r="17" spans="1:7" ht="15" customHeight="1" x14ac:dyDescent="0.25">
      <c r="A17" s="2" t="s">
        <v>46</v>
      </c>
      <c r="B17" s="3">
        <f>ROUND(Summary!D17+Summary!E17-Summary!F17+Summary!G17+Summary!H17-Summary!I17,2)</f>
        <v>0</v>
      </c>
      <c r="C17" s="3">
        <f>ROUND(SUMIFS(Transactions!I:I,Transactions!A:A,A17)-Summary!G17,2)</f>
        <v>0</v>
      </c>
      <c r="D17" s="3">
        <f>ROUND(SUMIFS(Income!F:F,Income!A:A,A17,Income!C:C,"Dividends")-Summary!L17,2)</f>
        <v>0</v>
      </c>
      <c r="E17" s="3">
        <f>ROUND(SUMIFS(Holdings!F:F,Holdings!A:A,A17,Holdings!B:B,"&lt;&gt;*Cash")-Summary!J17,2)</f>
        <v>0.01</v>
      </c>
      <c r="F17" s="3">
        <f>ROUND(Summary!I16-Summary!D17,2)</f>
        <v>0</v>
      </c>
      <c r="G17" s="2" t="s">
        <v>2378</v>
      </c>
    </row>
    <row r="18" spans="1:7" ht="15" customHeight="1" x14ac:dyDescent="0.25">
      <c r="A18" s="2" t="s">
        <v>48</v>
      </c>
      <c r="B18" s="3">
        <f>ROUND(Summary!D18+Summary!E18-Summary!F18+Summary!G18+Summary!H18-Summary!I18,2)</f>
        <v>0</v>
      </c>
      <c r="C18" s="3">
        <f>ROUND(SUMIFS(Transactions!I:I,Transactions!A:A,A18)-Summary!G18,2)</f>
        <v>0</v>
      </c>
      <c r="D18" s="3">
        <f>ROUND(SUMIFS(Income!F:F,Income!A:A,A18,Income!C:C,"Dividends")-Summary!L18,2)</f>
        <v>0</v>
      </c>
      <c r="E18" s="3">
        <f>ROUND(SUMIFS(Holdings!F:F,Holdings!A:A,A18,Holdings!B:B,"&lt;&gt;*Cash")-Summary!J18,2)</f>
        <v>0.02</v>
      </c>
      <c r="F18" s="3">
        <f>ROUND(Summary!I17-Summary!D18,2)</f>
        <v>0</v>
      </c>
      <c r="G18" s="2" t="s">
        <v>2378</v>
      </c>
    </row>
    <row r="19" spans="1:7" ht="15" customHeight="1" x14ac:dyDescent="0.25">
      <c r="A19" s="2" t="s">
        <v>50</v>
      </c>
      <c r="B19" s="3">
        <f>ROUND(Summary!D19+Summary!E19-Summary!F19+Summary!G19+Summary!H19-Summary!I19,2)</f>
        <v>0</v>
      </c>
      <c r="C19" s="3">
        <f>ROUND(SUMIFS(Transactions!I:I,Transactions!A:A,A19)-Summary!G19,2)</f>
        <v>0</v>
      </c>
      <c r="D19" s="3">
        <f>ROUND(SUMIFS(Income!F:F,Income!A:A,A19,Income!C:C,"Dividends")-Summary!L19,2)</f>
        <v>0</v>
      </c>
      <c r="E19" s="3">
        <f>ROUND(SUMIFS(Holdings!F:F,Holdings!A:A,A19,Holdings!B:B,"&lt;&gt;*Cash")-Summary!J19,2)</f>
        <v>0.01</v>
      </c>
      <c r="F19" s="3">
        <f>ROUND(Summary!I18-Summary!D19,2)</f>
        <v>0</v>
      </c>
      <c r="G19" s="2" t="s">
        <v>2378</v>
      </c>
    </row>
    <row r="20" spans="1:7" ht="15" customHeight="1" x14ac:dyDescent="0.25">
      <c r="A20" s="2" t="s">
        <v>52</v>
      </c>
      <c r="B20" s="3">
        <f>ROUND(Summary!D20+Summary!E20-Summary!F20+Summary!G20+Summary!H20-Summary!I20,2)</f>
        <v>0</v>
      </c>
      <c r="C20" s="3">
        <f>ROUND(SUMIFS(Transactions!I:I,Transactions!A:A,A20)-Summary!G20,2)</f>
        <v>0</v>
      </c>
      <c r="D20" s="3">
        <f>ROUND(SUMIFS(Income!F:F,Income!A:A,A20,Income!C:C,"Dividends")-Summary!L20,2)</f>
        <v>0</v>
      </c>
      <c r="E20" s="3">
        <f>ROUND(SUMIFS(Holdings!F:F,Holdings!A:A,A20,Holdings!B:B,"&lt;&gt;*Cash")-Summary!J20,2)</f>
        <v>0.01</v>
      </c>
      <c r="F20" s="3">
        <f>ROUND(Summary!I19-Summary!D20,2)</f>
        <v>0</v>
      </c>
      <c r="G20" s="2" t="s">
        <v>2378</v>
      </c>
    </row>
    <row r="21" spans="1:7" ht="15" customHeight="1" x14ac:dyDescent="0.25">
      <c r="A21" s="2" t="s">
        <v>54</v>
      </c>
      <c r="B21" s="3">
        <f>ROUND(Summary!D21+Summary!E21-Summary!F21+Summary!G21+Summary!H21-Summary!I21,2)</f>
        <v>0</v>
      </c>
      <c r="C21" s="3">
        <f>ROUND(SUMIFS(Transactions!I:I,Transactions!A:A,A21)-Summary!G21,2)</f>
        <v>0</v>
      </c>
      <c r="D21" s="3">
        <f>ROUND(SUMIFS(Income!F:F,Income!A:A,A21,Income!C:C,"Dividends")-Summary!L21,2)</f>
        <v>0</v>
      </c>
      <c r="E21" s="3">
        <f>ROUND(SUMIFS(Holdings!F:F,Holdings!A:A,A21,Holdings!B:B,"&lt;&gt;*Cash")-Summary!J21,2)</f>
        <v>0.01</v>
      </c>
      <c r="F21" s="3">
        <f>ROUND(Summary!I20-Summary!D21,2)</f>
        <v>0</v>
      </c>
      <c r="G21" s="2" t="s">
        <v>2378</v>
      </c>
    </row>
    <row r="22" spans="1:7" ht="15" customHeight="1" x14ac:dyDescent="0.25">
      <c r="A22" s="2" t="s">
        <v>56</v>
      </c>
      <c r="B22" s="3">
        <f>ROUND(Summary!D22+Summary!E22-Summary!F22+Summary!G22+Summary!H22-Summary!I22,2)</f>
        <v>0</v>
      </c>
      <c r="C22" s="3">
        <f>ROUND(SUMIFS(Transactions!I:I,Transactions!A:A,A22)-Summary!G22,2)</f>
        <v>0</v>
      </c>
      <c r="D22" s="3">
        <f>ROUND(SUMIFS(Income!F:F,Income!A:A,A22,Income!C:C,"Dividends")-Summary!L22,2)</f>
        <v>0</v>
      </c>
      <c r="E22" s="3">
        <f>ROUND(SUMIFS(Holdings!F:F,Holdings!A:A,A22,Holdings!B:B,"&lt;&gt;*Cash")-Summary!J22,2)</f>
        <v>0.02</v>
      </c>
      <c r="F22" s="3">
        <f>ROUND(Summary!I21-Summary!D22,2)</f>
        <v>0</v>
      </c>
      <c r="G22" s="2" t="s">
        <v>2378</v>
      </c>
    </row>
    <row r="23" spans="1:7" ht="15" customHeight="1" x14ac:dyDescent="0.25">
      <c r="A23" s="2" t="s">
        <v>58</v>
      </c>
      <c r="B23" s="3">
        <f>ROUND(Summary!D23+Summary!E23-Summary!F23+Summary!G23+Summary!H23-Summary!I23,2)</f>
        <v>0</v>
      </c>
      <c r="C23" s="3">
        <f>ROUND(SUMIFS(Transactions!I:I,Transactions!A:A,A23)-Summary!G23,2)</f>
        <v>0</v>
      </c>
      <c r="D23" s="3">
        <f>ROUND(SUMIFS(Income!F:F,Income!A:A,A23,Income!C:C,"Dividends")-Summary!L23,2)</f>
        <v>0</v>
      </c>
      <c r="E23" s="3">
        <f>ROUND(SUMIFS(Holdings!F:F,Holdings!A:A,A23,Holdings!B:B,"&lt;&gt;*Cash")-Summary!J23,2)</f>
        <v>-0.02</v>
      </c>
      <c r="F23" s="3">
        <f>ROUND(Summary!I22-Summary!D23,2)</f>
        <v>0</v>
      </c>
      <c r="G23" s="2" t="s">
        <v>2378</v>
      </c>
    </row>
    <row r="24" spans="1:7" ht="15" customHeight="1" x14ac:dyDescent="0.25">
      <c r="A24" s="2" t="s">
        <v>60</v>
      </c>
      <c r="B24" s="3">
        <f>ROUND(Summary!D24+Summary!E24-Summary!F24+Summary!G24+Summary!H24-Summary!I24,2)</f>
        <v>0</v>
      </c>
      <c r="C24" s="3">
        <f>ROUND(SUMIFS(Transactions!I:I,Transactions!A:A,A24)-Summary!G24,2)</f>
        <v>0</v>
      </c>
      <c r="D24" s="3">
        <f>ROUND(SUMIFS(Income!F:F,Income!A:A,A24,Income!C:C,"Dividends")-Summary!L24,2)</f>
        <v>0</v>
      </c>
      <c r="E24" s="3">
        <f>ROUND(SUMIFS(Holdings!F:F,Holdings!A:A,A24,Holdings!B:B,"&lt;&gt;*Cash")-Summary!J24,2)</f>
        <v>0.01</v>
      </c>
      <c r="F24" s="3">
        <f>ROUND(Summary!I23-Summary!D24,2)</f>
        <v>0</v>
      </c>
      <c r="G24" s="2" t="s">
        <v>2378</v>
      </c>
    </row>
    <row r="25" spans="1:7" ht="15" customHeight="1" x14ac:dyDescent="0.25">
      <c r="A25" s="2" t="s">
        <v>62</v>
      </c>
      <c r="B25" s="3">
        <f>ROUND(Summary!D25+Summary!E25-Summary!F25+Summary!G25+Summary!H25-Summary!I25,2)</f>
        <v>0</v>
      </c>
      <c r="C25" s="3">
        <f>ROUND(SUMIFS(Transactions!I:I,Transactions!A:A,A25)-Summary!G25,2)</f>
        <v>0</v>
      </c>
      <c r="D25" s="3">
        <f>ROUND(SUMIFS(Income!F:F,Income!A:A,A25,Income!C:C,"Dividends")-Summary!L25,2)</f>
        <v>0</v>
      </c>
      <c r="E25" s="3">
        <f>ROUND(SUMIFS(Holdings!F:F,Holdings!A:A,A25,Holdings!B:B,"&lt;&gt;*Cash")-Summary!J25,2)</f>
        <v>-0.01</v>
      </c>
      <c r="F25" s="3">
        <f>ROUND(Summary!I24-Summary!D25,2)</f>
        <v>0</v>
      </c>
      <c r="G25" s="2" t="s">
        <v>2378</v>
      </c>
    </row>
    <row r="26" spans="1:7" ht="15" customHeight="1" x14ac:dyDescent="0.25">
      <c r="A26" s="2" t="s">
        <v>64</v>
      </c>
      <c r="B26" s="3">
        <f>ROUND(Summary!D26+Summary!E26-Summary!F26+Summary!G26+Summary!H26-Summary!I26,2)</f>
        <v>0</v>
      </c>
      <c r="C26" s="3">
        <f>ROUND(SUMIFS(Transactions!I:I,Transactions!A:A,A26)-Summary!G26,2)</f>
        <v>0</v>
      </c>
      <c r="D26" s="3">
        <f>ROUND(SUMIFS(Income!F:F,Income!A:A,A26,Income!C:C,"Dividends")-Summary!L26,2)</f>
        <v>0</v>
      </c>
      <c r="E26" s="3">
        <f>ROUND(SUMIFS(Holdings!F:F,Holdings!A:A,A26,Holdings!B:B,"&lt;&gt;*Cash")-Summary!J26,2)</f>
        <v>0.01</v>
      </c>
      <c r="F26" s="3">
        <f>ROUND(Summary!I25-Summary!D26,2)</f>
        <v>0</v>
      </c>
      <c r="G26" s="2" t="s">
        <v>2378</v>
      </c>
    </row>
    <row r="27" spans="1:7" ht="15" customHeight="1" x14ac:dyDescent="0.25">
      <c r="A27" s="2" t="s">
        <v>66</v>
      </c>
      <c r="B27" s="3">
        <f>ROUND(Summary!D27+Summary!E27-Summary!F27+Summary!G27+Summary!H27-Summary!I27,2)</f>
        <v>0</v>
      </c>
      <c r="C27" s="3">
        <f>ROUND(SUMIFS(Transactions!I:I,Transactions!A:A,A27)-Summary!G27,2)</f>
        <v>0</v>
      </c>
      <c r="D27" s="3">
        <f>ROUND(SUMIFS(Income!F:F,Income!A:A,A27,Income!C:C,"Dividends")-Summary!L27,2)</f>
        <v>0</v>
      </c>
      <c r="E27" s="3">
        <f>ROUND(SUMIFS(Holdings!F:F,Holdings!A:A,A27,Holdings!B:B,"&lt;&gt;*Cash")-Summary!J27,2)</f>
        <v>0.04</v>
      </c>
      <c r="F27" s="3">
        <f>ROUND(Summary!I26-Summary!D27,2)</f>
        <v>0</v>
      </c>
      <c r="G27" s="2" t="s">
        <v>2378</v>
      </c>
    </row>
    <row r="28" spans="1:7" ht="15" customHeight="1" x14ac:dyDescent="0.25">
      <c r="A28" s="2" t="s">
        <v>68</v>
      </c>
      <c r="B28" s="3">
        <f>ROUND(Summary!D28+Summary!E28-Summary!F28+Summary!G28+Summary!H28-Summary!I28,2)</f>
        <v>0</v>
      </c>
      <c r="C28" s="3">
        <f>ROUND(SUMIFS(Transactions!I:I,Transactions!A:A,A28)-Summary!G28,2)</f>
        <v>0</v>
      </c>
      <c r="D28" s="3">
        <f>ROUND(SUMIFS(Income!F:F,Income!A:A,A28,Income!C:C,"Dividends")-Summary!L28,2)</f>
        <v>0</v>
      </c>
      <c r="E28" s="3">
        <f>ROUND(SUMIFS(Holdings!F:F,Holdings!A:A,A28,Holdings!B:B,"&lt;&gt;*Cash")-Summary!J28,2)</f>
        <v>-0.01</v>
      </c>
      <c r="F28" s="3">
        <f>ROUND(Summary!I27-Summary!D28,2)</f>
        <v>0</v>
      </c>
      <c r="G28" s="2" t="s">
        <v>2378</v>
      </c>
    </row>
    <row r="29" spans="1:7" ht="15" customHeight="1" x14ac:dyDescent="0.25">
      <c r="A29" s="2" t="s">
        <v>70</v>
      </c>
      <c r="B29" s="3">
        <f>ROUND(Summary!D29+Summary!E29-Summary!F29+Summary!G29+Summary!H29-Summary!I29,2)</f>
        <v>0</v>
      </c>
      <c r="C29" s="3">
        <f>ROUND(SUMIFS(Transactions!I:I,Transactions!A:A,A29)-Summary!G29,2)</f>
        <v>0</v>
      </c>
      <c r="D29" s="3">
        <f>ROUND(SUMIFS(Income!F:F,Income!A:A,A29,Income!C:C,"Dividends")-Summary!L29,2)</f>
        <v>0</v>
      </c>
      <c r="E29" s="3">
        <f>ROUND(SUMIFS(Holdings!F:F,Holdings!A:A,A29,Holdings!B:B,"&lt;&gt;*Cash")-Summary!J29,2)</f>
        <v>0</v>
      </c>
      <c r="F29" s="3">
        <f>ROUND(Summary!I28-Summary!D29,2)</f>
        <v>0</v>
      </c>
      <c r="G29" s="2" t="s">
        <v>2378</v>
      </c>
    </row>
    <row r="30" spans="1:7" ht="15" customHeight="1" x14ac:dyDescent="0.25">
      <c r="A30" s="2" t="s">
        <v>72</v>
      </c>
      <c r="B30" s="3">
        <f>ROUND(Summary!D30+Summary!E30-Summary!F30+Summary!G30+Summary!H30-Summary!I30,2)</f>
        <v>0</v>
      </c>
      <c r="C30" s="3">
        <f>ROUND(SUMIFS(Transactions!I:I,Transactions!A:A,A30)-Summary!G30,2)</f>
        <v>0</v>
      </c>
      <c r="D30" s="3">
        <f>ROUND(SUMIFS(Income!F:F,Income!A:A,A30,Income!C:C,"Dividends")-Summary!L30,2)</f>
        <v>0</v>
      </c>
      <c r="E30" s="3">
        <f>ROUND(SUMIFS(Holdings!F:F,Holdings!A:A,A30,Holdings!B:B,"&lt;&gt;*Cash")-Summary!J30,2)</f>
        <v>-0.01</v>
      </c>
      <c r="F30" s="3">
        <f>ROUND(Summary!I29-Summary!D30,2)</f>
        <v>0</v>
      </c>
      <c r="G30" s="2" t="s">
        <v>2378</v>
      </c>
    </row>
    <row r="31" spans="1:7" ht="15" customHeight="1" x14ac:dyDescent="0.25">
      <c r="A31" s="2" t="s">
        <v>74</v>
      </c>
      <c r="B31" s="3">
        <f>ROUND(Summary!D31+Summary!E31-Summary!F31+Summary!G31+Summary!H31-Summary!I31,2)</f>
        <v>0</v>
      </c>
      <c r="C31" s="3">
        <f>ROUND(SUMIFS(Transactions!I:I,Transactions!A:A,A31)-Summary!G31,2)</f>
        <v>0</v>
      </c>
      <c r="D31" s="3">
        <f>ROUND(SUMIFS(Income!F:F,Income!A:A,A31,Income!C:C,"Dividends")-Summary!L31,2)</f>
        <v>0</v>
      </c>
      <c r="E31" s="3">
        <f>ROUND(SUMIFS(Holdings!F:F,Holdings!A:A,A31,Holdings!B:B,"&lt;&gt;*Cash")-Summary!J31,2)</f>
        <v>-0.01</v>
      </c>
      <c r="F31" s="3">
        <f>ROUND(Summary!I30-Summary!D31,2)</f>
        <v>0</v>
      </c>
      <c r="G31" s="2" t="s">
        <v>2378</v>
      </c>
    </row>
    <row r="32" spans="1:7" ht="15" customHeight="1" x14ac:dyDescent="0.25">
      <c r="A32" s="2" t="s">
        <v>76</v>
      </c>
      <c r="B32" s="3">
        <f>ROUND(Summary!D32+Summary!E32-Summary!F32+Summary!G32+Summary!H32-Summary!I32,2)</f>
        <v>0</v>
      </c>
      <c r="C32" s="3">
        <f>ROUND(SUMIFS(Transactions!I:I,Transactions!A:A,A32)-Summary!G32,2)</f>
        <v>0</v>
      </c>
      <c r="D32" s="3">
        <f>ROUND(SUMIFS(Income!F:F,Income!A:A,A32,Income!C:C,"Dividends")-Summary!L32,2)</f>
        <v>0</v>
      </c>
      <c r="E32" s="3">
        <f>ROUND(SUMIFS(Holdings!F:F,Holdings!A:A,A32,Holdings!B:B,"&lt;&gt;*Cash")-Summary!J32,2)</f>
        <v>0.02</v>
      </c>
      <c r="F32" s="3">
        <f>ROUND(Summary!I31-Summary!D32,2)</f>
        <v>0</v>
      </c>
      <c r="G32" s="2" t="s">
        <v>2378</v>
      </c>
    </row>
    <row r="33" spans="1:7" ht="15" customHeight="1" x14ac:dyDescent="0.25">
      <c r="A33" s="2" t="s">
        <v>78</v>
      </c>
      <c r="B33" s="3">
        <f>ROUND(Summary!D33+Summary!E33-Summary!F33+Summary!G33+Summary!H33-Summary!I33,2)</f>
        <v>0</v>
      </c>
      <c r="C33" s="3">
        <f>ROUND(SUMIFS(Transactions!I:I,Transactions!A:A,A33)-Summary!G33,2)</f>
        <v>0</v>
      </c>
      <c r="D33" s="3">
        <f>ROUND(SUMIFS(Income!F:F,Income!A:A,A33,Income!C:C,"Dividends")-Summary!L33,2)</f>
        <v>0</v>
      </c>
      <c r="E33" s="3">
        <f>ROUND(SUMIFS(Holdings!F:F,Holdings!A:A,A33,Holdings!B:B,"&lt;&gt;*Cash")-Summary!J33,2)</f>
        <v>0.03</v>
      </c>
      <c r="F33" s="3">
        <f>ROUND(Summary!I32-Summary!D33,2)</f>
        <v>0</v>
      </c>
      <c r="G33" s="2" t="s">
        <v>2378</v>
      </c>
    </row>
    <row r="34" spans="1:7" ht="15" customHeight="1" x14ac:dyDescent="0.25">
      <c r="A34" s="2" t="s">
        <v>80</v>
      </c>
      <c r="B34" s="3">
        <f>ROUND(Summary!D34+Summary!E34-Summary!F34+Summary!G34+Summary!H34-Summary!I34,2)</f>
        <v>0</v>
      </c>
      <c r="C34" s="3">
        <f>ROUND(SUMIFS(Transactions!I:I,Transactions!A:A,A34)-Summary!G34,2)</f>
        <v>0</v>
      </c>
      <c r="D34" s="3">
        <f>ROUND(SUMIFS(Income!F:F,Income!A:A,A34,Income!C:C,"Dividends")-Summary!L34,2)</f>
        <v>0</v>
      </c>
      <c r="E34" s="3">
        <f>ROUND(SUMIFS(Holdings!F:F,Holdings!A:A,A34,Holdings!B:B,"&lt;&gt;*Cash")-Summary!J34,2)</f>
        <v>0.01</v>
      </c>
      <c r="F34" s="3">
        <f>ROUND(Summary!I33-Summary!D34,2)</f>
        <v>0</v>
      </c>
      <c r="G34" s="2" t="s">
        <v>2378</v>
      </c>
    </row>
    <row r="35" spans="1:7" ht="15" customHeight="1" x14ac:dyDescent="0.25">
      <c r="A35" s="2" t="s">
        <v>82</v>
      </c>
      <c r="B35" s="3">
        <f>ROUND(Summary!D35+Summary!E35-Summary!F35+Summary!G35+Summary!H35-Summary!I35,2)</f>
        <v>0</v>
      </c>
      <c r="C35" s="3">
        <f>ROUND(SUMIFS(Transactions!I:I,Transactions!A:A,A35)-Summary!G35,2)</f>
        <v>0</v>
      </c>
      <c r="D35" s="3">
        <f>ROUND(SUMIFS(Income!F:F,Income!A:A,A35,Income!C:C,"Dividends")-Summary!L35,2)</f>
        <v>0</v>
      </c>
      <c r="E35" s="3">
        <f>ROUND(SUMIFS(Holdings!F:F,Holdings!A:A,A35,Holdings!B:B,"&lt;&gt;*Cash")-Summary!J35,2)</f>
        <v>0.01</v>
      </c>
      <c r="F35" s="3">
        <f>ROUND(Summary!I34-Summary!D35,2)</f>
        <v>0</v>
      </c>
      <c r="G35" s="2" t="s">
        <v>2378</v>
      </c>
    </row>
    <row r="36" spans="1:7" ht="15" customHeight="1" x14ac:dyDescent="0.25">
      <c r="A36" s="2" t="s">
        <v>84</v>
      </c>
      <c r="B36" s="3">
        <f>ROUND(Summary!D36+Summary!E36-Summary!F36+Summary!G36+Summary!H36-Summary!I36,2)</f>
        <v>0</v>
      </c>
      <c r="C36" s="3">
        <f>ROUND(SUMIFS(Transactions!I:I,Transactions!A:A,A36)-Summary!G36,2)</f>
        <v>0</v>
      </c>
      <c r="D36" s="3">
        <f>ROUND(SUMIFS(Income!F:F,Income!A:A,A36,Income!C:C,"Dividends")-Summary!L36,2)</f>
        <v>0</v>
      </c>
      <c r="E36" s="3">
        <f>ROUND(SUMIFS(Holdings!F:F,Holdings!A:A,A36,Holdings!B:B,"&lt;&gt;*Cash")-Summary!J36,2)</f>
        <v>0.03</v>
      </c>
      <c r="F36" s="3">
        <f>ROUND(Summary!I35-Summary!D36,2)</f>
        <v>0</v>
      </c>
      <c r="G36" s="2" t="s">
        <v>2378</v>
      </c>
    </row>
    <row r="37" spans="1:7" ht="15" customHeight="1" x14ac:dyDescent="0.25">
      <c r="A37" s="2" t="s">
        <v>86</v>
      </c>
      <c r="B37" s="3">
        <f>ROUND(Summary!D37+Summary!E37-Summary!F37+Summary!G37+Summary!H37-Summary!I37,2)</f>
        <v>0</v>
      </c>
      <c r="C37" s="3">
        <f>ROUND(SUMIFS(Transactions!I:I,Transactions!A:A,A37)-Summary!G37,2)</f>
        <v>0</v>
      </c>
      <c r="D37" s="3">
        <f>ROUND(SUMIFS(Income!F:F,Income!A:A,A37,Income!C:C,"Dividends")-Summary!L37,2)</f>
        <v>0</v>
      </c>
      <c r="E37" s="3">
        <f>ROUND(SUMIFS(Holdings!F:F,Holdings!A:A,A37,Holdings!B:B,"&lt;&gt;*Cash")-Summary!J37,2)</f>
        <v>-0.01</v>
      </c>
      <c r="F37" s="3">
        <f>ROUND(Summary!I36-Summary!D37,2)</f>
        <v>0</v>
      </c>
      <c r="G37" s="2" t="s">
        <v>2378</v>
      </c>
    </row>
    <row r="38" spans="1:7" ht="15" customHeight="1" x14ac:dyDescent="0.25">
      <c r="A38" s="2" t="s">
        <v>88</v>
      </c>
      <c r="B38" s="3">
        <f>ROUND(Summary!D38+Summary!E38-Summary!F38+Summary!G38+Summary!H38-Summary!I38,2)</f>
        <v>0</v>
      </c>
      <c r="C38" s="3">
        <f>ROUND(SUMIFS(Transactions!I:I,Transactions!A:A,A38)-Summary!G38,2)</f>
        <v>0</v>
      </c>
      <c r="D38" s="3">
        <f>ROUND(SUMIFS(Income!F:F,Income!A:A,A38,Income!C:C,"Dividends")-Summary!L38,2)</f>
        <v>0</v>
      </c>
      <c r="E38" s="3">
        <f>ROUND(SUMIFS(Holdings!F:F,Holdings!A:A,A38,Holdings!B:B,"&lt;&gt;*Cash")-Summary!J38,2)</f>
        <v>0.01</v>
      </c>
      <c r="F38" s="3">
        <f>ROUND(Summary!I37-Summary!D38,2)</f>
        <v>0</v>
      </c>
      <c r="G38" s="2" t="s">
        <v>2378</v>
      </c>
    </row>
    <row r="39" spans="1:7" ht="15" customHeight="1" x14ac:dyDescent="0.25">
      <c r="A39" s="2" t="s">
        <v>90</v>
      </c>
      <c r="B39" s="3">
        <f>ROUND(Summary!D39+Summary!E39-Summary!F39+Summary!G39+Summary!H39-Summary!I39,2)</f>
        <v>0</v>
      </c>
      <c r="C39" s="3">
        <f>ROUND(SUMIFS(Transactions!I:I,Transactions!A:A,A39)-Summary!G39,2)</f>
        <v>0</v>
      </c>
      <c r="D39" s="3">
        <f>ROUND(SUMIFS(Income!F:F,Income!A:A,A39,Income!C:C,"Dividends")-Summary!L39,2)</f>
        <v>0</v>
      </c>
      <c r="E39" s="3">
        <f>ROUND(SUMIFS(Holdings!F:F,Holdings!A:A,A39,Holdings!B:B,"&lt;&gt;*Cash")-Summary!J39,2)</f>
        <v>0.01</v>
      </c>
      <c r="F39" s="3">
        <f>ROUND(Summary!I38-Summary!D39,2)</f>
        <v>0</v>
      </c>
      <c r="G39" s="2" t="s">
        <v>2378</v>
      </c>
    </row>
    <row r="40" spans="1:7" ht="15" customHeight="1" x14ac:dyDescent="0.25">
      <c r="A40" s="2" t="s">
        <v>92</v>
      </c>
      <c r="B40" s="3">
        <f>ROUND(Summary!D40+Summary!E40-Summary!F40+Summary!G40+Summary!H40-Summary!I40,2)</f>
        <v>0</v>
      </c>
      <c r="C40" s="3">
        <f>ROUND(SUMIFS(Transactions!I:I,Transactions!A:A,A40)-Summary!G40,2)</f>
        <v>0</v>
      </c>
      <c r="D40" s="3">
        <f>ROUND(SUMIFS(Income!F:F,Income!A:A,A40,Income!C:C,"Dividends")-Summary!L40,2)</f>
        <v>0</v>
      </c>
      <c r="E40" s="3">
        <f>ROUND(SUMIFS(Holdings!F:F,Holdings!A:A,A40,Holdings!B:B,"&lt;&gt;*Cash")-Summary!J40,2)</f>
        <v>-0.01</v>
      </c>
      <c r="F40" s="3">
        <f>ROUND(Summary!I39-Summary!D40,2)</f>
        <v>0</v>
      </c>
      <c r="G40" s="2" t="s">
        <v>2378</v>
      </c>
    </row>
    <row r="41" spans="1:7" ht="15" customHeight="1" x14ac:dyDescent="0.25">
      <c r="A41" s="2" t="s">
        <v>94</v>
      </c>
      <c r="B41" s="3">
        <f>ROUND(Summary!D41+Summary!E41-Summary!F41+Summary!G41+Summary!H41-Summary!I41,2)</f>
        <v>0</v>
      </c>
      <c r="C41" s="3">
        <f>ROUND(SUMIFS(Transactions!I:I,Transactions!A:A,A41)-Summary!G41,2)</f>
        <v>0</v>
      </c>
      <c r="D41" s="3">
        <f>ROUND(SUMIFS(Income!F:F,Income!A:A,A41,Income!C:C,"Dividends")-Summary!L41,2)</f>
        <v>0</v>
      </c>
      <c r="E41" s="3">
        <f>ROUND(SUMIFS(Holdings!F:F,Holdings!A:A,A41,Holdings!B:B,"&lt;&gt;*Cash")-Summary!J41,2)</f>
        <v>0.02</v>
      </c>
      <c r="F41" s="3">
        <f>ROUND(Summary!I40-Summary!D41,2)</f>
        <v>0</v>
      </c>
      <c r="G41" s="2" t="s">
        <v>2378</v>
      </c>
    </row>
  </sheetData>
  <autoFilter ref="A1:G41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Holdings</vt:lpstr>
      <vt:lpstr>Transactions</vt:lpstr>
      <vt:lpstr>Income</vt:lpstr>
      <vt:lpstr>Fees</vt:lpstr>
      <vt:lpstr>Deposits &amp; Withdrawals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Parinya Kamnoed</cp:lastModifiedBy>
  <cp:revision>0</cp:revision>
  <dcterms:created xsi:type="dcterms:W3CDTF">2026-07-04T05:10:35Z</dcterms:created>
  <dcterms:modified xsi:type="dcterms:W3CDTF">2026-07-04T06:19:34Z</dcterms:modified>
  <dc:language>en-US</dc:language>
</cp:coreProperties>
</file>